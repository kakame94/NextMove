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utils &amp; Infra" sheetId="2" state="visible" r:id="rId2"/>
    <sheet xmlns:r="http://schemas.openxmlformats.org/officeDocument/2006/relationships" name="COGS variable" sheetId="3" state="visible" r:id="rId3"/>
    <sheet xmlns:r="http://schemas.openxmlformats.org/officeDocument/2006/relationships" name="Salaires &amp; talent" sheetId="4" state="visible" r:id="rId4"/>
    <sheet xmlns:r="http://schemas.openxmlformats.org/officeDocument/2006/relationships" name="Scé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Economics" sheetId="7" state="visible" r:id="rId7"/>
    <sheet xmlns:r="http://schemas.openxmlformats.org/officeDocument/2006/relationships" name="Funding schedule" sheetId="8" state="visible" r:id="rId8"/>
    <sheet xmlns:r="http://schemas.openxmlformats.org/officeDocument/2006/relationships" name="Setup one-sho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 &quot;$&quot;_-;-* #,##0 &quot;$&quot;_-;_-* &quot;-&quot;?? &quot;$&quot;_-;_-@_-"/>
    <numFmt numFmtId="165" formatCode="_-* #,##0.00 &quot;$&quot;_-;-* #,##0.00 &quot;$&quot;_-;_-* &quot;-&quot;?? &quot;$&quot;_-;_-@_-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2A2521"/>
      <sz val="18"/>
    </font>
    <font>
      <name val="Calibri"/>
      <i val="1"/>
      <color rgb="007A7068"/>
      <sz val="11"/>
    </font>
    <font>
      <name val="Calibri"/>
      <b val="1"/>
      <color rgb="002A2521"/>
      <sz val="11"/>
    </font>
    <font>
      <name val="Calibri"/>
      <b val="1"/>
      <color rgb="00FFFFFF"/>
      <sz val="12"/>
    </font>
    <font>
      <name val="Calibri"/>
      <b val="1"/>
      <color rgb="002A2521"/>
      <sz val="10"/>
    </font>
    <font>
      <name val="Calibri"/>
      <color rgb="002A2521"/>
      <sz val="10"/>
    </font>
    <font>
      <name val="Calibri"/>
      <i val="1"/>
      <color rgb="007A7068"/>
      <sz val="10"/>
    </font>
    <font>
      <name val="Consolas"/>
      <color rgb="002A2521"/>
      <sz val="10"/>
    </font>
    <font>
      <name val="Calibri"/>
      <b val="1"/>
      <color rgb="00C25A36"/>
      <sz val="11"/>
    </font>
    <font>
      <name val="Consolas"/>
      <b val="1"/>
      <color rgb="00C25A36"/>
      <sz val="10"/>
    </font>
    <font>
      <name val="Consolas"/>
      <b val="1"/>
      <color rgb="003D7A3A"/>
      <sz val="10"/>
    </font>
  </fonts>
  <fills count="14">
    <fill>
      <patternFill/>
    </fill>
    <fill>
      <patternFill patternType="gray125"/>
    </fill>
    <fill>
      <patternFill patternType="solid">
        <fgColor rgb="00C25A36"/>
      </patternFill>
    </fill>
    <fill>
      <patternFill patternType="solid">
        <fgColor rgb="00FCE6DC"/>
      </patternFill>
    </fill>
    <fill>
      <patternFill patternType="solid">
        <fgColor rgb="00F5E6D0"/>
      </patternFill>
    </fill>
    <fill>
      <patternFill patternType="solid">
        <fgColor rgb="00DDE6F0"/>
      </patternFill>
    </fill>
    <fill>
      <patternFill patternType="solid">
        <fgColor rgb="00EEEAE2"/>
      </patternFill>
    </fill>
    <fill>
      <patternFill patternType="solid">
        <fgColor rgb="00FDE8E0"/>
      </patternFill>
    </fill>
    <fill>
      <patternFill patternType="solid">
        <fgColor rgb="00E8F0E0"/>
      </patternFill>
    </fill>
    <fill>
      <patternFill patternType="solid">
        <fgColor rgb="00E0E8F4"/>
      </patternFill>
    </fill>
    <fill>
      <patternFill patternType="solid">
        <fgColor rgb="00EFE0F4"/>
      </patternFill>
    </fill>
    <fill>
      <patternFill patternType="solid">
        <fgColor rgb="00F4F0E0"/>
      </patternFill>
    </fill>
    <fill>
      <patternFill patternType="solid">
        <fgColor rgb="00F0E0E0"/>
      </patternFill>
    </fill>
    <fill>
      <patternFill patternType="solid">
        <fgColor rgb="00F4DBCE"/>
      </patternFill>
    </fill>
  </fills>
  <borders count="6">
    <border>
      <left/>
      <right/>
      <top/>
      <bottom/>
      <diagonal/>
    </border>
    <border>
      <left style="thin">
        <color rgb="00E2DDD3"/>
      </left>
      <right style="thin">
        <color rgb="00E2DDD3"/>
      </right>
      <top style="thin">
        <color rgb="00E2DDD3"/>
      </top>
      <bottom style="thin">
        <color rgb="00E2DDD3"/>
      </bottom>
    </border>
    <border>
      <left/>
      <right/>
      <top style="thin">
        <color rgb="00E2DDD3"/>
      </top>
      <bottom/>
      <diagonal/>
    </border>
    <border>
      <left/>
      <right style="thin">
        <color rgb="00E2DDD3"/>
      </right>
      <top style="thin">
        <color rgb="00E2DDD3"/>
      </top>
      <bottom/>
      <diagonal/>
    </border>
    <border>
      <left/>
      <right/>
      <top style="thin">
        <color rgb="00E2DDD3"/>
      </top>
      <bottom style="thin">
        <color rgb="00E2DDD3"/>
      </bottom>
      <diagonal/>
    </border>
    <border>
      <left/>
      <right style="thin">
        <color rgb="00E2DDD3"/>
      </right>
      <top style="thin">
        <color rgb="00E2DDD3"/>
      </top>
      <bottom style="thin">
        <color rgb="00E2DDD3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7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8" fillId="0" borderId="1" applyAlignment="1" pivotButton="0" quotePrefix="0" xfId="0">
      <alignment horizontal="right" vertical="center" wrapText="1"/>
    </xf>
    <xf numFmtId="164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7" borderId="1" pivotButton="0" quotePrefix="0" xfId="0"/>
    <xf numFmtId="0" fontId="5" fillId="7" borderId="1" pivotButton="0" quotePrefix="0" xfId="0"/>
    <xf numFmtId="164" fontId="5" fillId="7" borderId="1" applyAlignment="1" pivotButton="0" quotePrefix="0" xfId="0">
      <alignment horizontal="right" vertical="center" wrapText="1"/>
    </xf>
    <xf numFmtId="0" fontId="0" fillId="8" borderId="1" pivotButton="0" quotePrefix="0" xfId="0"/>
    <xf numFmtId="0" fontId="5" fillId="8" borderId="1" pivotButton="0" quotePrefix="0" xfId="0"/>
    <xf numFmtId="164" fontId="5" fillId="8" borderId="1" applyAlignment="1" pivotButton="0" quotePrefix="0" xfId="0">
      <alignment horizontal="right" vertical="center" wrapText="1"/>
    </xf>
    <xf numFmtId="0" fontId="0" fillId="9" borderId="1" pivotButton="0" quotePrefix="0" xfId="0"/>
    <xf numFmtId="0" fontId="5" fillId="9" borderId="1" pivotButton="0" quotePrefix="0" xfId="0"/>
    <xf numFmtId="164" fontId="5" fillId="9" borderId="1" applyAlignment="1" pivotButton="0" quotePrefix="0" xfId="0">
      <alignment horizontal="right" vertical="center" wrapText="1"/>
    </xf>
    <xf numFmtId="0" fontId="0" fillId="10" borderId="1" pivotButton="0" quotePrefix="0" xfId="0"/>
    <xf numFmtId="0" fontId="5" fillId="10" borderId="1" pivotButton="0" quotePrefix="0" xfId="0"/>
    <xf numFmtId="164" fontId="5" fillId="10" borderId="1" applyAlignment="1" pivotButton="0" quotePrefix="0" xfId="0">
      <alignment horizontal="right" vertical="center" wrapText="1"/>
    </xf>
    <xf numFmtId="0" fontId="0" fillId="11" borderId="1" pivotButton="0" quotePrefix="0" xfId="0"/>
    <xf numFmtId="0" fontId="5" fillId="11" borderId="1" pivotButton="0" quotePrefix="0" xfId="0"/>
    <xf numFmtId="164" fontId="5" fillId="11" borderId="1" applyAlignment="1" pivotButton="0" quotePrefix="0" xfId="0">
      <alignment horizontal="right" vertical="center" wrapText="1"/>
    </xf>
    <xf numFmtId="0" fontId="0" fillId="12" borderId="1" pivotButton="0" quotePrefix="0" xfId="0"/>
    <xf numFmtId="0" fontId="5" fillId="12" borderId="1" pivotButton="0" quotePrefix="0" xfId="0"/>
    <xf numFmtId="164" fontId="5" fillId="12" borderId="1" applyAlignment="1" pivotButton="0" quotePrefix="0" xfId="0">
      <alignment horizontal="right" vertical="center" wrapText="1"/>
    </xf>
    <xf numFmtId="0" fontId="0" fillId="13" borderId="1" pivotButton="0" quotePrefix="0" xfId="0"/>
    <xf numFmtId="0" fontId="9" fillId="13" borderId="1" pivotButton="0" quotePrefix="0" xfId="0"/>
    <xf numFmtId="164" fontId="9" fillId="13" borderId="1" applyAlignment="1" pivotButton="0" quotePrefix="0" xfId="0">
      <alignment horizontal="right" vertical="center" wrapText="1"/>
    </xf>
    <xf numFmtId="165" fontId="8" fillId="0" borderId="1" applyAlignment="1" pivotButton="0" quotePrefix="0" xfId="0">
      <alignment horizontal="right" vertical="center" wrapText="1"/>
    </xf>
    <xf numFmtId="165" fontId="9" fillId="13" borderId="1" applyAlignment="1" pivotButton="0" quotePrefix="0" xfId="0">
      <alignment horizontal="right" vertical="center" wrapText="1"/>
    </xf>
    <xf numFmtId="0" fontId="3" fillId="0" borderId="1" pivotButton="0" quotePrefix="0" xfId="0"/>
    <xf numFmtId="0" fontId="0" fillId="0" borderId="1" pivotButton="0" quotePrefix="0" xfId="0"/>
    <xf numFmtId="9" fontId="9" fillId="13" borderId="1" applyAlignment="1" pivotButton="0" quotePrefix="0" xfId="0">
      <alignment horizontal="right" vertical="center" wrapText="1"/>
    </xf>
    <xf numFmtId="3" fontId="0" fillId="3" borderId="1" applyAlignment="1" pivotButton="0" quotePrefix="0" xfId="0">
      <alignment horizontal="right" vertical="center" wrapText="1"/>
    </xf>
    <xf numFmtId="3" fontId="0" fillId="4" borderId="1" applyAlignment="1" pivotButton="0" quotePrefix="0" xfId="0">
      <alignment horizontal="right" vertical="center" wrapText="1"/>
    </xf>
    <xf numFmtId="3" fontId="0" fillId="5" borderId="1" applyAlignment="1" pivotButton="0" quotePrefix="0" xfId="0">
      <alignment horizontal="right" vertical="center" wrapText="1"/>
    </xf>
    <xf numFmtId="165" fontId="0" fillId="3" borderId="1" applyAlignment="1" pivotButton="0" quotePrefix="0" xfId="0">
      <alignment horizontal="right" vertical="center" wrapText="1"/>
    </xf>
    <xf numFmtId="165" fontId="0" fillId="4" borderId="1" applyAlignment="1" pivotButton="0" quotePrefix="0" xfId="0">
      <alignment horizontal="right" vertical="center" wrapText="1"/>
    </xf>
    <xf numFmtId="165" fontId="0" fillId="5" borderId="1" applyAlignment="1" pivotButton="0" quotePrefix="0" xfId="0">
      <alignment horizontal="right" vertical="center" wrapText="1"/>
    </xf>
    <xf numFmtId="164" fontId="0" fillId="3" borderId="1" applyAlignment="1" pivotButton="0" quotePrefix="0" xfId="0">
      <alignment horizontal="right" vertical="center" wrapText="1"/>
    </xf>
    <xf numFmtId="164" fontId="0" fillId="4" borderId="1" applyAlignment="1" pivotButton="0" quotePrefix="0" xfId="0">
      <alignment horizontal="right" vertical="center" wrapText="1"/>
    </xf>
    <xf numFmtId="164" fontId="0" fillId="5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right" vertical="center" wrapText="1"/>
    </xf>
    <xf numFmtId="0" fontId="9" fillId="0" borderId="1" pivotButton="0" quotePrefix="0" xfId="0"/>
    <xf numFmtId="164" fontId="9" fillId="3" borderId="1" applyAlignment="1" pivotButton="0" quotePrefix="0" xfId="0">
      <alignment horizontal="right" vertical="center" wrapText="1"/>
    </xf>
    <xf numFmtId="164" fontId="9" fillId="4" borderId="1" applyAlignment="1" pivotButton="0" quotePrefix="0" xfId="0">
      <alignment horizontal="right" vertical="center" wrapText="1"/>
    </xf>
    <xf numFmtId="164" fontId="9" fillId="5" borderId="1" applyAlignment="1" pivotButton="0" quotePrefix="0" xfId="0">
      <alignment horizontal="right" vertical="center" wrapText="1"/>
    </xf>
    <xf numFmtId="9" fontId="9" fillId="3" borderId="1" applyAlignment="1" pivotButton="0" quotePrefix="0" xfId="0">
      <alignment horizontal="right" vertical="center" wrapText="1"/>
    </xf>
    <xf numFmtId="9" fontId="9" fillId="4" borderId="1" applyAlignment="1" pivotButton="0" quotePrefix="0" xfId="0">
      <alignment horizontal="right" vertical="center" wrapText="1"/>
    </xf>
    <xf numFmtId="9" fontId="9" fillId="5" borderId="1" applyAlignment="1" pivotButton="0" quotePrefix="0" xfId="0">
      <alignment horizontal="right" vertical="center" wrapText="1"/>
    </xf>
    <xf numFmtId="9" fontId="0" fillId="3" borderId="1" applyAlignment="1" pivotButton="0" quotePrefix="0" xfId="0">
      <alignment horizontal="right" vertical="center" wrapText="1"/>
    </xf>
    <xf numFmtId="9" fontId="0" fillId="4" borderId="1" applyAlignment="1" pivotButton="0" quotePrefix="0" xfId="0">
      <alignment horizontal="right" vertical="center" wrapText="1"/>
    </xf>
    <xf numFmtId="9" fontId="0" fillId="5" borderId="1" applyAlignment="1" pivotButton="0" quotePrefix="0" xfId="0">
      <alignment horizontal="right" vertical="center" wrapText="1"/>
    </xf>
    <xf numFmtId="166" fontId="0" fillId="3" borderId="1" applyAlignment="1" pivotButton="0" quotePrefix="0" xfId="0">
      <alignment horizontal="right" vertical="center" wrapText="1"/>
    </xf>
    <xf numFmtId="166" fontId="0" fillId="4" borderId="1" applyAlignment="1" pivotButton="0" quotePrefix="0" xfId="0">
      <alignment horizontal="right" vertical="center" wrapText="1"/>
    </xf>
    <xf numFmtId="166" fontId="0" fillId="5" borderId="1" applyAlignment="1" pivotButton="0" quotePrefix="0" xfId="0">
      <alignment horizontal="righ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13" borderId="0" pivotButton="0" quotePrefix="0" xfId="0"/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9" fontId="8" fillId="0" borderId="1" applyAlignment="1" pivotButton="0" quotePrefix="0" xfId="0">
      <alignment horizontal="right" vertical="center" wrapText="1"/>
    </xf>
    <xf numFmtId="166" fontId="8" fillId="0" borderId="1" applyAlignment="1" pivotButton="0" quotePrefix="0" xfId="0">
      <alignment horizontal="right" vertical="center" wrapText="1"/>
    </xf>
    <xf numFmtId="0" fontId="5" fillId="13" borderId="1" pivotButton="0" quotePrefix="0" xfId="0"/>
    <xf numFmtId="3" fontId="8" fillId="0" borderId="1" applyAlignment="1" pivotButton="0" quotePrefix="0" xfId="0">
      <alignment horizontal="right" vertical="center" wrapText="1"/>
    </xf>
    <xf numFmtId="166" fontId="9" fillId="13" borderId="1" applyAlignment="1" pivotButton="0" quotePrefix="0" xfId="0">
      <alignment horizontal="right" vertical="center" wrapText="1"/>
    </xf>
    <xf numFmtId="2" fontId="8" fillId="0" borderId="1" applyAlignment="1" pivotButton="0" quotePrefix="0" xfId="0">
      <alignment horizontal="right" vertical="center" wrapText="1"/>
    </xf>
    <xf numFmtId="0" fontId="7" fillId="3" borderId="1" pivotButton="0" quotePrefix="0" xfId="0"/>
    <xf numFmtId="164" fontId="10" fillId="0" borderId="1" applyAlignment="1" pivotButton="0" quotePrefix="0" xfId="0">
      <alignment horizontal="right" vertical="center" wrapText="1"/>
    </xf>
    <xf numFmtId="0" fontId="7" fillId="4" borderId="1" pivotButton="0" quotePrefix="0" xfId="0"/>
    <xf numFmtId="0" fontId="7" fillId="5" borderId="1" pivotButton="0" quotePrefix="0" xfId="0"/>
    <xf numFmtId="164" fontId="11" fillId="0" borderId="1" applyAlignment="1" pivotButton="0" quotePrefix="0" xfId="0">
      <alignment horizontal="right" vertical="center" wrapText="1"/>
    </xf>
    <xf numFmtId="0" fontId="7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Klaris — Structure de coûts détaillée</t>
        </is>
      </c>
    </row>
    <row r="2">
      <c r="A2" s="2" t="inlineStr">
        <is>
          <t>Une marque Next Move · v1.0 · 15 mai 2026 · Confidentiel</t>
        </is>
      </c>
    </row>
    <row r="4" ht="60" customHeight="1">
      <c r="A4" s="3" t="inlineStr">
        <is>
          <t>Objet</t>
        </is>
      </c>
      <c r="B4" s="4" t="inlineStr">
        <is>
          <t>Modèle de coûts couvrant la livraison de la roadmap Klaris sur 18 mois. Trois scénarios alignés sur les jalons commerciaux : Now (10 courtiers, pré-amorçage), Next (200 courtiers, Seed), Later (1 000 courtiers, prép. Series A). Tous les montants en $CAD sauf indication contraire.</t>
        </is>
      </c>
    </row>
    <row r="5" ht="40" customHeight="1">
      <c r="A5" s="3" t="inlineStr">
        <is>
          <t>Méthodologie</t>
        </is>
      </c>
      <c r="B5" s="4" t="inlineStr">
        <is>
          <t>Bottom-up par outil. Hypothèses volumétriques explicites (Sheet README §Hypothèses). Sensibilité +/-20% sur leviers clés (Sheet Sensitivity).</t>
        </is>
      </c>
    </row>
    <row r="6">
      <c r="A6" s="3" t="inlineStr">
        <is>
          <t>Devise</t>
        </is>
      </c>
      <c r="B6" s="4" t="inlineStr">
        <is>
          <t>$CAD. Conversion appliquée : 1 USD = 1,36 CAD (mai 2026, moyenne 90 j).</t>
        </is>
      </c>
    </row>
    <row r="8">
      <c r="A8" s="5" t="inlineStr">
        <is>
          <t>Hypothèses volumétriques</t>
        </is>
      </c>
    </row>
    <row r="9" ht="22" customHeight="1">
      <c r="A9" s="6" t="inlineStr">
        <is>
          <t>Conversations SMS / courtier / mois</t>
        </is>
      </c>
      <c r="B9" s="7" t="inlineStr">
        <is>
          <t>~150 (5 leads/j × 30 j ; 30% qualifiés)</t>
        </is>
      </c>
    </row>
    <row r="10" ht="22" customHeight="1">
      <c r="A10" s="6" t="inlineStr">
        <is>
          <t>Messages Twilio sortants / courtier / mois</t>
        </is>
      </c>
      <c r="B10" s="7" t="inlineStr">
        <is>
          <t>~450 (3 par conversation moy.)</t>
        </is>
      </c>
    </row>
    <row r="11" ht="22" customHeight="1">
      <c r="A11" s="6" t="inlineStr">
        <is>
          <t>Tokens Anthropic / courtier / mois (qualif)</t>
        </is>
      </c>
      <c r="B11" s="7" t="inlineStr">
        <is>
          <t>~120 k input + ~30 k output</t>
        </is>
      </c>
    </row>
    <row r="12" ht="22" customHeight="1">
      <c r="A12" s="6" t="inlineStr">
        <is>
          <t>Tokens Anthropic / courtier / mois (briefing+RAG)</t>
        </is>
      </c>
      <c r="B12" s="7" t="inlineStr">
        <is>
          <t>~80 k input + ~20 k output</t>
        </is>
      </c>
    </row>
    <row r="13" ht="22" customHeight="1">
      <c r="A13" s="6" t="inlineStr">
        <is>
          <t>Mémos vocaux transcrits / courtier / mois</t>
        </is>
      </c>
      <c r="B13" s="7" t="inlineStr">
        <is>
          <t>~40 (~30 min audio total)</t>
        </is>
      </c>
    </row>
    <row r="14" ht="22" customHeight="1">
      <c r="A14" s="6" t="inlineStr">
        <is>
          <t>Embeddings / courtier / mois (RAG V1)</t>
        </is>
      </c>
      <c r="B14" s="7" t="inlineStr">
        <is>
          <t>~500 chunks × 1536 dims</t>
        </is>
      </c>
    </row>
    <row r="15" ht="22" customHeight="1">
      <c r="A15" s="6" t="inlineStr">
        <is>
          <t>Embeddings / agence / mois (RAG V2 listings)</t>
        </is>
      </c>
      <c r="B15" s="7" t="inlineStr">
        <is>
          <t>~5 000 listings réindexés / 7 j</t>
        </is>
      </c>
    </row>
    <row r="16" ht="22" customHeight="1">
      <c r="A16" s="6" t="inlineStr">
        <is>
          <t>Offres rédigées / courtier / mois (Sprint 8)</t>
        </is>
      </c>
      <c r="B16" s="7" t="inlineStr">
        <is>
          <t>~3 (50% pilotes)</t>
        </is>
      </c>
    </row>
    <row r="17" ht="22" customHeight="1">
      <c r="A17" s="6" t="inlineStr">
        <is>
          <t>Signatures Notarius / courtier / mois</t>
        </is>
      </c>
      <c r="B17" s="7" t="inlineStr">
        <is>
          <t>~4 (1 offre = ~2 signataires)</t>
        </is>
      </c>
    </row>
    <row r="18" ht="22" customHeight="1">
      <c r="A18" s="6" t="inlineStr">
        <is>
          <t>Storage Supabase / courtier</t>
        </is>
      </c>
      <c r="B18" s="7" t="inlineStr">
        <is>
          <t>~150 MB (mémos compressés + PDF)</t>
        </is>
      </c>
    </row>
    <row r="19" ht="22" customHeight="1">
      <c r="A19" s="6" t="inlineStr">
        <is>
          <t>Bandwidth dashboard / courtier / mois</t>
        </is>
      </c>
      <c r="B19" s="7" t="inlineStr">
        <is>
          <t>~2 GB</t>
        </is>
      </c>
    </row>
    <row r="20" ht="22" customHeight="1">
      <c r="A20" s="6" t="inlineStr">
        <is>
          <t>Crash-free rate cible</t>
        </is>
      </c>
      <c r="B20" s="7" t="inlineStr">
        <is>
          <t>≥ 99% (Sentry plan ajusté)</t>
        </is>
      </c>
    </row>
    <row r="22">
      <c r="A22" s="5" t="inlineStr">
        <is>
          <t>Scénarios — courtiers actifs</t>
        </is>
      </c>
    </row>
    <row r="23" ht="22" customHeight="1">
      <c r="A23" s="6" t="inlineStr">
        <is>
          <t>Now (T+0 à T+3)</t>
        </is>
      </c>
      <c r="B23" s="7" t="inlineStr">
        <is>
          <t>10 courtiers · pré-amorçage 250 k$ · MRR 1 000 $</t>
        </is>
      </c>
    </row>
    <row r="24" ht="22" customHeight="1">
      <c r="A24" s="6" t="inlineStr">
        <is>
          <t>Next (T+4 à T+9)</t>
        </is>
      </c>
      <c r="B24" s="7" t="inlineStr">
        <is>
          <t>200 courtiers · Seed 1,5 M$ · MRR 25 000 $</t>
        </is>
      </c>
    </row>
    <row r="25" ht="22" customHeight="1">
      <c r="A25" s="6" t="inlineStr">
        <is>
          <t>Later (T+10 à T+18)</t>
        </is>
      </c>
      <c r="B25" s="7" t="inlineStr">
        <is>
          <t>1 000 courtiers · prép. Series A · MRR 125 000 $</t>
        </is>
      </c>
    </row>
    <row r="27">
      <c r="A27" s="3" t="inlineStr">
        <is>
          <t>Légende couleurs</t>
        </is>
      </c>
    </row>
    <row r="28">
      <c r="A28" s="8" t="inlineStr">
        <is>
          <t>Now (10 courtiers)</t>
        </is>
      </c>
    </row>
    <row r="29">
      <c r="A29" s="9" t="inlineStr">
        <is>
          <t>Next (200 courtiers)</t>
        </is>
      </c>
    </row>
    <row r="30">
      <c r="A30" s="10" t="inlineStr">
        <is>
          <t>Later (1 000 courtiers)</t>
        </is>
      </c>
    </row>
    <row r="32">
      <c r="A32" s="3" t="inlineStr">
        <is>
          <t>Avertissement</t>
        </is>
      </c>
    </row>
    <row r="33" ht="50" customHeight="1">
      <c r="A33" s="11" t="inlineStr">
        <is>
          <t>Modèle d'intention — pas un budget engagé. Les prix outils peuvent varier (promotions, négociations enterprise). Toutes les estimations sont à valider auprès des fournisseurs au moment du déploiement.</t>
        </is>
      </c>
    </row>
  </sheetData>
  <mergeCells count="5">
    <mergeCell ref="A2:B2"/>
    <mergeCell ref="A33:B33"/>
    <mergeCell ref="A1:B1"/>
    <mergeCell ref="A8:B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>
      <c r="A1" s="1" t="inlineStr">
        <is>
          <t>Catalogue outils &amp; infrastructure</t>
        </is>
      </c>
    </row>
    <row r="2">
      <c r="A2" s="2" t="inlineStr">
        <is>
          <t>Tous coûts $CAD/mois sauf indication. Colonnes Now/Next/Later = total $/mois à ce volume.</t>
        </is>
      </c>
    </row>
    <row r="4" ht="32" customHeight="1">
      <c r="A4" s="12" t="inlineStr">
        <is>
          <t>Catégorie</t>
        </is>
      </c>
      <c r="B4" s="12" t="inlineStr">
        <is>
          <t>Outil</t>
        </is>
      </c>
      <c r="C4" s="12" t="inlineStr">
        <is>
          <t>Plan / SKU</t>
        </is>
      </c>
      <c r="D4" s="12" t="inlineStr">
        <is>
          <t>Unité</t>
        </is>
      </c>
      <c r="E4" s="12" t="inlineStr">
        <is>
          <t>Coût unitaire $CAD</t>
        </is>
      </c>
      <c r="F4" s="12" t="inlineStr">
        <is>
          <t>Now (10c)</t>
        </is>
      </c>
      <c r="G4" s="12" t="inlineStr">
        <is>
          <t>Next (200c)</t>
        </is>
      </c>
      <c r="H4" s="12" t="inlineStr">
        <is>
          <t>Later (1000c)</t>
        </is>
      </c>
      <c r="I4" s="12" t="inlineStr">
        <is>
          <t>Notes</t>
        </is>
      </c>
    </row>
    <row r="5" ht="22" customHeight="1">
      <c r="A5" s="13" t="inlineStr">
        <is>
          <t>A. IA &amp; ML</t>
        </is>
      </c>
      <c r="B5" s="14" t="n"/>
      <c r="C5" s="14" t="n"/>
      <c r="D5" s="14" t="n"/>
      <c r="E5" s="14" t="n"/>
      <c r="F5" s="14" t="n"/>
      <c r="G5" s="14" t="n"/>
      <c r="H5" s="14" t="n"/>
      <c r="I5" s="15" t="n"/>
    </row>
    <row r="6" ht="22" customHeight="1">
      <c r="A6" s="16" t="inlineStr">
        <is>
          <t>A. IA &amp; ML</t>
        </is>
      </c>
      <c r="B6" s="17" t="inlineStr">
        <is>
          <t>Anthropic Claude Sonnet 4.6</t>
        </is>
      </c>
      <c r="C6" s="18" t="inlineStr">
        <is>
          <t>API usage-based</t>
        </is>
      </c>
      <c r="D6" s="16" t="inlineStr">
        <is>
          <t>$/M tokens (in 3$ / out 15$)</t>
        </is>
      </c>
      <c r="E6" s="19" t="inlineStr">
        <is>
          <t>var</t>
        </is>
      </c>
      <c r="F6" s="20" t="n">
        <v>65</v>
      </c>
      <c r="G6" s="20" t="n">
        <v>1300</v>
      </c>
      <c r="H6" s="20" t="n">
        <v>7000</v>
      </c>
      <c r="I6" s="21" t="inlineStr">
        <is>
          <t>Qualification + briefing. ~150k tokens/courtier/mois.</t>
        </is>
      </c>
    </row>
    <row r="7" ht="22" customHeight="1">
      <c r="A7" s="16" t="inlineStr">
        <is>
          <t>A. IA &amp; ML</t>
        </is>
      </c>
      <c r="B7" s="17" t="inlineStr">
        <is>
          <t>Anthropic Claude Haiku 4.5</t>
        </is>
      </c>
      <c r="C7" s="18" t="inlineStr">
        <is>
          <t>API usage-based</t>
        </is>
      </c>
      <c r="D7" s="16" t="inlineStr">
        <is>
          <t>$/M tokens (in 1$ / out 5$)</t>
        </is>
      </c>
      <c r="E7" s="19" t="inlineStr">
        <is>
          <t>var</t>
        </is>
      </c>
      <c r="F7" s="20" t="n">
        <v>8</v>
      </c>
      <c r="G7" s="20" t="n">
        <v>150</v>
      </c>
      <c r="H7" s="20" t="n">
        <v>750</v>
      </c>
      <c r="I7" s="21" t="inlineStr">
        <is>
          <t>Résumés mémos + suggestions courtes.</t>
        </is>
      </c>
    </row>
    <row r="8" ht="22" customHeight="1">
      <c r="A8" s="16" t="inlineStr">
        <is>
          <t>A. IA &amp; ML</t>
        </is>
      </c>
      <c r="B8" s="17" t="inlineStr">
        <is>
          <t>Anthropic Prompt Caching</t>
        </is>
      </c>
      <c r="C8" s="18" t="inlineStr">
        <is>
          <t>5-min TTL</t>
        </is>
      </c>
      <c r="D8" s="16" t="inlineStr">
        <is>
          <t>−90% input tokens cached</t>
        </is>
      </c>
      <c r="E8" s="19" t="inlineStr">
        <is>
          <t>var</t>
        </is>
      </c>
      <c r="F8" s="20" t="n">
        <v>-8</v>
      </c>
      <c r="G8" s="20" t="n">
        <v>-160</v>
      </c>
      <c r="H8" s="20" t="n">
        <v>-900</v>
      </c>
      <c r="I8" s="21" t="inlineStr">
        <is>
          <t>Économie via cache prompts système Klaris.</t>
        </is>
      </c>
    </row>
    <row r="9" ht="22" customHeight="1">
      <c r="A9" s="16" t="inlineStr">
        <is>
          <t>A. IA &amp; ML</t>
        </is>
      </c>
      <c r="B9" s="17" t="inlineStr">
        <is>
          <t>OpenAI Whisper API</t>
        </is>
      </c>
      <c r="C9" s="18" t="inlineStr">
        <is>
          <t>whisper-1</t>
        </is>
      </c>
      <c r="D9" s="16" t="inlineStr">
        <is>
          <t>$/min audio (0,006 USD)</t>
        </is>
      </c>
      <c r="E9" s="19" t="inlineStr">
        <is>
          <t>0,008</t>
        </is>
      </c>
      <c r="F9" s="20" t="n">
        <v>12</v>
      </c>
      <c r="G9" s="20" t="n">
        <v>245</v>
      </c>
      <c r="H9" s="20" t="n">
        <v>1230</v>
      </c>
      <c r="I9" s="21" t="inlineStr">
        <is>
          <t>Transcription mémos vocaux + voicemails.</t>
        </is>
      </c>
    </row>
    <row r="10" ht="22" customHeight="1">
      <c r="A10" s="16" t="inlineStr">
        <is>
          <t>A. IA &amp; ML</t>
        </is>
      </c>
      <c r="B10" s="17" t="inlineStr">
        <is>
          <t>OpenAI Embeddings (RAG V1)</t>
        </is>
      </c>
      <c r="C10" s="18" t="inlineStr">
        <is>
          <t>text-embedding-3-small</t>
        </is>
      </c>
      <c r="D10" s="16" t="inlineStr">
        <is>
          <t>$/M tokens (0,02 USD)</t>
        </is>
      </c>
      <c r="E10" s="19" t="inlineStr">
        <is>
          <t>0,027</t>
        </is>
      </c>
      <c r="F10" s="20" t="n">
        <v>3</v>
      </c>
      <c r="G10" s="20" t="n">
        <v>54</v>
      </c>
      <c r="H10" s="20" t="n">
        <v>270</v>
      </c>
      <c r="I10" s="21" t="inlineStr">
        <is>
          <t>Indexation knowledge base agence.</t>
        </is>
      </c>
    </row>
    <row r="11" ht="22" customHeight="1">
      <c r="A11" s="16" t="inlineStr">
        <is>
          <t>A. IA &amp; ML</t>
        </is>
      </c>
      <c r="B11" s="17" t="inlineStr">
        <is>
          <t>Voyage AI Embeddings (Next)</t>
        </is>
      </c>
      <c r="C11" s="18" t="inlineStr">
        <is>
          <t>voyage-3</t>
        </is>
      </c>
      <c r="D11" s="16" t="inlineStr">
        <is>
          <t>$/M tokens (0,06 USD)</t>
        </is>
      </c>
      <c r="E11" s="19" t="inlineStr">
        <is>
          <t>0,082</t>
        </is>
      </c>
      <c r="F11" s="20" t="n">
        <v>0</v>
      </c>
      <c r="G11" s="20" t="n">
        <v>35</v>
      </c>
      <c r="H11" s="20" t="n">
        <v>180</v>
      </c>
      <c r="I11" s="21" t="inlineStr">
        <is>
          <t>Upgrade RAG V2 — précision +15% vs OpenAI.</t>
        </is>
      </c>
    </row>
    <row r="12" ht="22" customHeight="1">
      <c r="A12" s="16" t="inlineStr">
        <is>
          <t>A. IA &amp; ML</t>
        </is>
      </c>
      <c r="B12" s="17" t="inlineStr">
        <is>
          <t>Voyage AI Rerank (Next)</t>
        </is>
      </c>
      <c r="C12" s="18" t="inlineStr">
        <is>
          <t>rerank-2</t>
        </is>
      </c>
      <c r="D12" s="16" t="inlineStr">
        <is>
          <t>$/M tokens (0,05 USD)</t>
        </is>
      </c>
      <c r="E12" s="19" t="inlineStr">
        <is>
          <t>0,068</t>
        </is>
      </c>
      <c r="F12" s="20" t="n">
        <v>0</v>
      </c>
      <c r="G12" s="20" t="n">
        <v>22</v>
      </c>
      <c r="H12" s="20" t="n">
        <v>110</v>
      </c>
      <c r="I12" s="21" t="inlineStr">
        <is>
          <t>Reranking RAG V2.</t>
        </is>
      </c>
    </row>
    <row r="13" ht="22" customHeight="1">
      <c r="A13" s="16" t="inlineStr">
        <is>
          <t>A. IA &amp; ML</t>
        </is>
      </c>
      <c r="B13" s="17" t="inlineStr">
        <is>
          <t>Mistral La Plateforme</t>
        </is>
      </c>
      <c r="C13" s="18" t="inlineStr">
        <is>
          <t>mistral-large</t>
        </is>
      </c>
      <c r="D13" s="16" t="inlineStr">
        <is>
          <t>fallback (10% trafic Next)</t>
        </is>
      </c>
      <c r="E13" s="19" t="inlineStr">
        <is>
          <t>var</t>
        </is>
      </c>
      <c r="F13" s="20" t="n">
        <v>0</v>
      </c>
      <c r="G13" s="20" t="n">
        <v>45</v>
      </c>
      <c r="H13" s="20" t="n">
        <v>220</v>
      </c>
      <c r="I13" s="21" t="inlineStr">
        <is>
          <t>Fallback Anthropic — résilience + cost arb.</t>
        </is>
      </c>
    </row>
    <row r="14" ht="22" customHeight="1">
      <c r="A14" s="16" t="inlineStr">
        <is>
          <t>A. IA &amp; ML</t>
        </is>
      </c>
      <c r="B14" s="17" t="inlineStr">
        <is>
          <t>Cohere Rerank (alternative)</t>
        </is>
      </c>
      <c r="C14" s="18" t="inlineStr">
        <is>
          <t>rerank-3</t>
        </is>
      </c>
      <c r="D14" s="16" t="inlineStr">
        <is>
          <t>alternative Voyage</t>
        </is>
      </c>
      <c r="E14" s="19" t="inlineStr">
        <is>
          <t>0</t>
        </is>
      </c>
      <c r="F14" s="20" t="n">
        <v>0</v>
      </c>
      <c r="G14" s="20" t="n">
        <v>0</v>
      </c>
      <c r="H14" s="20" t="n">
        <v>0</v>
      </c>
      <c r="I14" s="21" t="inlineStr">
        <is>
          <t>En réserve si Voyage indispo.</t>
        </is>
      </c>
    </row>
    <row r="15" ht="22" customHeight="1">
      <c r="A15" s="16" t="inlineStr">
        <is>
          <t>A. IA &amp; ML</t>
        </is>
      </c>
      <c r="B15" s="17" t="inlineStr">
        <is>
          <t>Upstash Redis (cache RAG)</t>
        </is>
      </c>
      <c r="C15" s="18" t="inlineStr">
        <is>
          <t>Pay-as-you-go</t>
        </is>
      </c>
      <c r="D15" s="16" t="inlineStr">
        <is>
          <t>$/req + storage</t>
        </is>
      </c>
      <c r="E15" s="19" t="inlineStr">
        <is>
          <t>var</t>
        </is>
      </c>
      <c r="F15" s="20" t="n">
        <v>0</v>
      </c>
      <c r="G15" s="20" t="n">
        <v>35</v>
      </c>
      <c r="H15" s="20" t="n">
        <v>150</v>
      </c>
      <c r="I15" s="21" t="inlineStr">
        <is>
          <t>Cache sémantique embeddings — RAG V4.</t>
        </is>
      </c>
    </row>
    <row r="16" ht="22" customHeight="1">
      <c r="A16" s="13" t="inlineStr">
        <is>
          <t>B. Infra prod</t>
        </is>
      </c>
      <c r="B16" s="14" t="n"/>
      <c r="C16" s="14" t="n"/>
      <c r="D16" s="14" t="n"/>
      <c r="E16" s="14" t="n"/>
      <c r="F16" s="14" t="n"/>
      <c r="G16" s="14" t="n"/>
      <c r="H16" s="14" t="n"/>
      <c r="I16" s="15" t="n"/>
    </row>
    <row r="17" ht="22" customHeight="1">
      <c r="A17" s="16" t="inlineStr">
        <is>
          <t>B. Infra prod</t>
        </is>
      </c>
      <c r="B17" s="17" t="inlineStr">
        <is>
          <t>Supabase</t>
        </is>
      </c>
      <c r="C17" s="18" t="inlineStr">
        <is>
          <t>Pro $25 + usage</t>
        </is>
      </c>
      <c r="D17" s="16" t="inlineStr">
        <is>
          <t>$/projet/mois</t>
        </is>
      </c>
      <c r="E17" s="19" t="inlineStr">
        <is>
          <t>25</t>
        </is>
      </c>
      <c r="F17" s="20" t="n">
        <v>25</v>
      </c>
      <c r="G17" s="20" t="n">
        <v>125</v>
      </c>
      <c r="H17" s="20" t="n">
        <v>500</v>
      </c>
      <c r="I17" s="21" t="inlineStr">
        <is>
          <t>Pro Now ; Team @ Next (egress + concurrent); Enterprise Later.</t>
        </is>
      </c>
    </row>
    <row r="18" ht="22" customHeight="1">
      <c r="A18" s="16" t="inlineStr">
        <is>
          <t>B. Infra prod</t>
        </is>
      </c>
      <c r="B18" s="17" t="inlineStr">
        <is>
          <t>Supabase Storage</t>
        </is>
      </c>
      <c r="C18" s="18" t="inlineStr">
        <is>
          <t>$0,021/GB</t>
        </is>
      </c>
      <c r="D18" s="16" t="inlineStr">
        <is>
          <t>$/GB/mois</t>
        </is>
      </c>
      <c r="E18" s="19" t="inlineStr">
        <is>
          <t>0,021</t>
        </is>
      </c>
      <c r="F18" s="20" t="n">
        <v>1</v>
      </c>
      <c r="G18" s="20" t="n">
        <v>12</v>
      </c>
      <c r="H18" s="20" t="n">
        <v>55</v>
      </c>
      <c r="I18" s="21" t="inlineStr">
        <is>
          <t>Mémos + PDF offres + briefings.</t>
        </is>
      </c>
    </row>
    <row r="19" ht="22" customHeight="1">
      <c r="A19" s="16" t="inlineStr">
        <is>
          <t>B. Infra prod</t>
        </is>
      </c>
      <c r="B19" s="17" t="inlineStr">
        <is>
          <t>Supabase egress</t>
        </is>
      </c>
      <c r="C19" s="18" t="inlineStr">
        <is>
          <t>$0,09/GB</t>
        </is>
      </c>
      <c r="D19" s="16" t="inlineStr">
        <is>
          <t>$/GB/mois</t>
        </is>
      </c>
      <c r="E19" s="19" t="inlineStr">
        <is>
          <t>0,09</t>
        </is>
      </c>
      <c r="F19" s="20" t="n">
        <v>2</v>
      </c>
      <c r="G19" s="20" t="n">
        <v>45</v>
      </c>
      <c r="H19" s="20" t="n">
        <v>220</v>
      </c>
      <c r="I19" s="21" t="inlineStr">
        <is>
          <t>Dashboard + iOS sync.</t>
        </is>
      </c>
    </row>
    <row r="20" ht="22" customHeight="1">
      <c r="A20" s="16" t="inlineStr">
        <is>
          <t>B. Infra prod</t>
        </is>
      </c>
      <c r="B20" s="17" t="inlineStr">
        <is>
          <t>Twilio numéro local QC</t>
        </is>
      </c>
      <c r="C20" s="18" t="inlineStr">
        <is>
          <t>$1,50 USD/numéro</t>
        </is>
      </c>
      <c r="D20" s="16" t="inlineStr">
        <is>
          <t>$/numéro/mois</t>
        </is>
      </c>
      <c r="E20" s="19" t="inlineStr">
        <is>
          <t>2,04</t>
        </is>
      </c>
      <c r="F20" s="20" t="n">
        <v>20</v>
      </c>
      <c r="G20" s="20" t="n">
        <v>410</v>
      </c>
      <c r="H20" s="20" t="n">
        <v>2040</v>
      </c>
      <c r="I20" s="21" t="inlineStr">
        <is>
          <t>1 numéro / courtier.</t>
        </is>
      </c>
    </row>
    <row r="21" ht="22" customHeight="1">
      <c r="A21" s="16" t="inlineStr">
        <is>
          <t>B. Infra prod</t>
        </is>
      </c>
      <c r="B21" s="17" t="inlineStr">
        <is>
          <t>Twilio SMS sortants</t>
        </is>
      </c>
      <c r="C21" s="18" t="inlineStr">
        <is>
          <t>$0,0075 USD/SMS</t>
        </is>
      </c>
      <c r="D21" s="16" t="inlineStr">
        <is>
          <t>$/SMS</t>
        </is>
      </c>
      <c r="E21" s="19" t="inlineStr">
        <is>
          <t>0,010</t>
        </is>
      </c>
      <c r="F21" s="20" t="n">
        <v>45</v>
      </c>
      <c r="G21" s="20" t="n">
        <v>900</v>
      </c>
      <c r="H21" s="20" t="n">
        <v>4500</v>
      </c>
      <c r="I21" s="21" t="inlineStr">
        <is>
          <t>~450 SMS sortants/courtier/mois.</t>
        </is>
      </c>
    </row>
    <row r="22" ht="22" customHeight="1">
      <c r="A22" s="16" t="inlineStr">
        <is>
          <t>B. Infra prod</t>
        </is>
      </c>
      <c r="B22" s="17" t="inlineStr">
        <is>
          <t>Twilio SMS entrants</t>
        </is>
      </c>
      <c r="C22" s="18" t="inlineStr">
        <is>
          <t>$0,0075 USD/SMS</t>
        </is>
      </c>
      <c r="D22" s="16" t="inlineStr">
        <is>
          <t>$/SMS</t>
        </is>
      </c>
      <c r="E22" s="19" t="inlineStr">
        <is>
          <t>0,010</t>
        </is>
      </c>
      <c r="F22" s="20" t="n">
        <v>15</v>
      </c>
      <c r="G22" s="20" t="n">
        <v>300</v>
      </c>
      <c r="H22" s="20" t="n">
        <v>1500</v>
      </c>
      <c r="I22" s="21" t="inlineStr">
        <is>
          <t>~150 entrants.</t>
        </is>
      </c>
    </row>
    <row r="23" ht="22" customHeight="1">
      <c r="A23" s="16" t="inlineStr">
        <is>
          <t>B. Infra prod</t>
        </is>
      </c>
      <c r="B23" s="17" t="inlineStr">
        <is>
          <t>n8n hosting (Railway)</t>
        </is>
      </c>
      <c r="C23" s="18" t="inlineStr">
        <is>
          <t>Pro $20</t>
        </is>
      </c>
      <c r="D23" s="16" t="inlineStr">
        <is>
          <t>$/mois</t>
        </is>
      </c>
      <c r="E23" s="19" t="inlineStr">
        <is>
          <t>27</t>
        </is>
      </c>
      <c r="F23" s="20" t="n">
        <v>27</v>
      </c>
      <c r="G23" s="20" t="n">
        <v>27</v>
      </c>
      <c r="H23" s="20" t="n">
        <v>0</v>
      </c>
      <c r="I23" s="21" t="inlineStr">
        <is>
          <t>Self-hosted. Migré service Python @ Later.</t>
        </is>
      </c>
    </row>
    <row r="24" ht="22" customHeight="1">
      <c r="A24" s="16" t="inlineStr">
        <is>
          <t>B. Infra prod</t>
        </is>
      </c>
      <c r="B24" s="17" t="inlineStr">
        <is>
          <t>Service Python (Later)</t>
        </is>
      </c>
      <c r="C24" s="18" t="inlineStr">
        <is>
          <t>Cloud Run + GCS</t>
        </is>
      </c>
      <c r="D24" s="16" t="inlineStr">
        <is>
          <t>$/mois</t>
        </is>
      </c>
      <c r="E24" s="19" t="inlineStr">
        <is>
          <t>var</t>
        </is>
      </c>
      <c r="F24" s="20" t="n">
        <v>0</v>
      </c>
      <c r="G24" s="20" t="n">
        <v>0</v>
      </c>
      <c r="H24" s="20" t="n">
        <v>1200</v>
      </c>
      <c r="I24" s="21" t="inlineStr">
        <is>
          <t>Remplace n8n quand &gt;500 courtiers.</t>
        </is>
      </c>
    </row>
    <row r="25" ht="22" customHeight="1">
      <c r="A25" s="16" t="inlineStr">
        <is>
          <t>B. Infra prod</t>
        </is>
      </c>
      <c r="B25" s="17" t="inlineStr">
        <is>
          <t>Vercel Pro</t>
        </is>
      </c>
      <c r="C25" s="18" t="inlineStr">
        <is>
          <t>klaris.app web</t>
        </is>
      </c>
      <c r="D25" s="16" t="inlineStr">
        <is>
          <t>$/seat/mois</t>
        </is>
      </c>
      <c r="E25" s="19" t="inlineStr">
        <is>
          <t>27</t>
        </is>
      </c>
      <c r="F25" s="20" t="n">
        <v>54</v>
      </c>
      <c r="G25" s="20" t="n">
        <v>81</v>
      </c>
      <c r="H25" s="20" t="n">
        <v>108</v>
      </c>
      <c r="I25" s="21" t="inlineStr">
        <is>
          <t>2 → 3 → 4 seats.</t>
        </is>
      </c>
    </row>
    <row r="26" ht="22" customHeight="1">
      <c r="A26" s="16" t="inlineStr">
        <is>
          <t>B. Infra prod</t>
        </is>
      </c>
      <c r="B26" s="17" t="inlineStr">
        <is>
          <t>Sentry Team</t>
        </is>
      </c>
      <c r="C26" s="18" t="inlineStr">
        <is>
          <t>Team $26 + events</t>
        </is>
      </c>
      <c r="D26" s="16" t="inlineStr">
        <is>
          <t>$/mois</t>
        </is>
      </c>
      <c r="E26" s="19" t="inlineStr">
        <is>
          <t>35</t>
        </is>
      </c>
      <c r="F26" s="20" t="n">
        <v>35</v>
      </c>
      <c r="G26" s="20" t="n">
        <v>85</v>
      </c>
      <c r="H26" s="20" t="n">
        <v>290</v>
      </c>
      <c r="I26" s="21" t="inlineStr">
        <is>
          <t>Errors + perf monitoring iOS+web.</t>
        </is>
      </c>
    </row>
    <row r="27" ht="22" customHeight="1">
      <c r="A27" s="16" t="inlineStr">
        <is>
          <t>B. Infra prod</t>
        </is>
      </c>
      <c r="B27" s="17" t="inlineStr">
        <is>
          <t>Logflare</t>
        </is>
      </c>
      <c r="C27" s="18" t="inlineStr">
        <is>
          <t>Logging</t>
        </is>
      </c>
      <c r="D27" s="16" t="inlineStr">
        <is>
          <t>$/mois</t>
        </is>
      </c>
      <c r="E27" s="19" t="inlineStr">
        <is>
          <t>34</t>
        </is>
      </c>
      <c r="F27" s="20" t="n">
        <v>34</v>
      </c>
      <c r="G27" s="20" t="n">
        <v>34</v>
      </c>
      <c r="H27" s="20" t="n">
        <v>150</v>
      </c>
      <c r="I27" s="21" t="inlineStr">
        <is>
          <t>Logs n8n → Postgres → BigQuery.</t>
        </is>
      </c>
    </row>
    <row r="28" ht="22" customHeight="1">
      <c r="A28" s="16" t="inlineStr">
        <is>
          <t>B. Infra prod</t>
        </is>
      </c>
      <c r="B28" s="17" t="inlineStr">
        <is>
          <t>Browserless.io</t>
        </is>
      </c>
      <c r="C28" s="18" t="inlineStr">
        <is>
          <t>PDF rendering</t>
        </is>
      </c>
      <c r="D28" s="16" t="inlineStr">
        <is>
          <t>$/mois</t>
        </is>
      </c>
      <c r="E28" s="19" t="inlineStr">
        <is>
          <t>68</t>
        </is>
      </c>
      <c r="F28" s="20" t="n">
        <v>68</v>
      </c>
      <c r="G28" s="20" t="n">
        <v>68</v>
      </c>
      <c r="H28" s="20" t="n">
        <v>150</v>
      </c>
      <c r="I28" s="21" t="inlineStr">
        <is>
          <t>Rapports PDF mensuels courtier.</t>
        </is>
      </c>
    </row>
    <row r="29" ht="22" customHeight="1">
      <c r="A29" s="16" t="inlineStr">
        <is>
          <t>B. Infra prod</t>
        </is>
      </c>
      <c r="B29" s="17" t="inlineStr">
        <is>
          <t>Resend</t>
        </is>
      </c>
      <c r="C29" s="18" t="inlineStr">
        <is>
          <t>Pro $20</t>
        </is>
      </c>
      <c r="D29" s="16" t="inlineStr">
        <is>
          <t>$/mois</t>
        </is>
      </c>
      <c r="E29" s="19" t="inlineStr">
        <is>
          <t>27</t>
        </is>
      </c>
      <c r="F29" s="20" t="n">
        <v>27</v>
      </c>
      <c r="G29" s="20" t="n">
        <v>27</v>
      </c>
      <c r="H29" s="20" t="n">
        <v>50</v>
      </c>
      <c r="I29" s="21" t="inlineStr">
        <is>
          <t>Emails transactionnels.</t>
        </is>
      </c>
    </row>
    <row r="30" ht="22" customHeight="1">
      <c r="A30" s="16" t="inlineStr">
        <is>
          <t>B. Infra prod</t>
        </is>
      </c>
      <c r="B30" s="17" t="inlineStr">
        <is>
          <t>Firebase (FCM + Crashly)</t>
        </is>
      </c>
      <c r="C30" s="18" t="inlineStr">
        <is>
          <t>Spark free</t>
        </is>
      </c>
      <c r="D30" s="16" t="inlineStr">
        <is>
          <t>$/mois</t>
        </is>
      </c>
      <c r="E30" s="19" t="inlineStr">
        <is>
          <t>0</t>
        </is>
      </c>
      <c r="F30" s="20" t="n">
        <v>0</v>
      </c>
      <c r="G30" s="20" t="n">
        <v>0</v>
      </c>
      <c r="H30" s="20" t="n">
        <v>150</v>
      </c>
      <c r="I30" s="21" t="inlineStr">
        <is>
          <t>Free Now/Next ; Blaze pay-as-you-go Later.</t>
        </is>
      </c>
    </row>
    <row r="31" ht="22" customHeight="1">
      <c r="A31" s="16" t="inlineStr">
        <is>
          <t>B. Infra prod</t>
        </is>
      </c>
      <c r="B31" s="17" t="inlineStr">
        <is>
          <t>Cloudflare Pro</t>
        </is>
      </c>
      <c r="C31" s="18" t="inlineStr">
        <is>
          <t>DNS + WAF</t>
        </is>
      </c>
      <c r="D31" s="16" t="inlineStr">
        <is>
          <t>$/mois</t>
        </is>
      </c>
      <c r="E31" s="19" t="inlineStr">
        <is>
          <t>27</t>
        </is>
      </c>
      <c r="F31" s="20" t="n">
        <v>27</v>
      </c>
      <c r="G31" s="20" t="n">
        <v>27</v>
      </c>
      <c r="H31" s="20" t="n">
        <v>27</v>
      </c>
      <c r="I31" s="21" t="inlineStr">
        <is>
          <t>Domaine + protection klaris.app.</t>
        </is>
      </c>
    </row>
    <row r="32" ht="22" customHeight="1">
      <c r="A32" s="16" t="inlineStr">
        <is>
          <t>B. Infra prod</t>
        </is>
      </c>
      <c r="B32" s="17" t="inlineStr">
        <is>
          <t>Apple Developer</t>
        </is>
      </c>
      <c r="C32" s="18" t="inlineStr">
        <is>
          <t>Programme dev</t>
        </is>
      </c>
      <c r="D32" s="16" t="inlineStr">
        <is>
          <t>$/an (99 USD)</t>
        </is>
      </c>
      <c r="E32" s="19" t="inlineStr">
        <is>
          <t>11</t>
        </is>
      </c>
      <c r="F32" s="20" t="n">
        <v>11</v>
      </c>
      <c r="G32" s="20" t="n">
        <v>11</v>
      </c>
      <c r="H32" s="20" t="n">
        <v>11</v>
      </c>
      <c r="I32" s="21" t="inlineStr">
        <is>
          <t>Renouvelé annuellement.</t>
        </is>
      </c>
    </row>
    <row r="33" ht="22" customHeight="1">
      <c r="A33" s="16" t="inlineStr">
        <is>
          <t>B. Infra prod</t>
        </is>
      </c>
      <c r="B33" s="17" t="inlineStr">
        <is>
          <t>BrowserStack</t>
        </is>
      </c>
      <c r="C33" s="18" t="inlineStr">
        <is>
          <t>Live $39 USD</t>
        </is>
      </c>
      <c r="D33" s="16" t="inlineStr">
        <is>
          <t>$/seat/mois</t>
        </is>
      </c>
      <c r="E33" s="19" t="inlineStr">
        <is>
          <t>53</t>
        </is>
      </c>
      <c r="F33" s="20" t="n">
        <v>53</v>
      </c>
      <c r="G33" s="20" t="n">
        <v>53</v>
      </c>
      <c r="H33" s="20" t="n">
        <v>106</v>
      </c>
      <c r="I33" s="21" t="inlineStr">
        <is>
          <t>Tests cross-device iOS.</t>
        </is>
      </c>
    </row>
    <row r="34" ht="22" customHeight="1">
      <c r="A34" s="13" t="inlineStr">
        <is>
          <t>C. Outils dev</t>
        </is>
      </c>
      <c r="B34" s="14" t="n"/>
      <c r="C34" s="14" t="n"/>
      <c r="D34" s="14" t="n"/>
      <c r="E34" s="14" t="n"/>
      <c r="F34" s="14" t="n"/>
      <c r="G34" s="14" t="n"/>
      <c r="H34" s="14" t="n"/>
      <c r="I34" s="15" t="n"/>
    </row>
    <row r="35" ht="22" customHeight="1">
      <c r="A35" s="16" t="inlineStr">
        <is>
          <t>C. Outils dev</t>
        </is>
      </c>
      <c r="B35" s="17" t="inlineStr">
        <is>
          <t>Claude Code (Pro)</t>
        </is>
      </c>
      <c r="C35" s="18" t="inlineStr">
        <is>
          <t>20$/seat/mois</t>
        </is>
      </c>
      <c r="D35" s="16" t="inlineStr">
        <is>
          <t>$/seat</t>
        </is>
      </c>
      <c r="E35" s="19" t="inlineStr">
        <is>
          <t>27</t>
        </is>
      </c>
      <c r="F35" s="20" t="n">
        <v>54</v>
      </c>
      <c r="G35" s="20" t="n">
        <v>108</v>
      </c>
      <c r="H35" s="20" t="n">
        <v>270</v>
      </c>
      <c r="I35" s="21" t="inlineStr">
        <is>
          <t>Cofondateurs Now ; +contractors Next/Later.</t>
        </is>
      </c>
    </row>
    <row r="36" ht="22" customHeight="1">
      <c r="A36" s="16" t="inlineStr">
        <is>
          <t>C. Outils dev</t>
        </is>
      </c>
      <c r="B36" s="17" t="inlineStr">
        <is>
          <t>Cursor Pro</t>
        </is>
      </c>
      <c r="C36" s="18" t="inlineStr">
        <is>
          <t>$20 USD/seat</t>
        </is>
      </c>
      <c r="D36" s="16" t="inlineStr">
        <is>
          <t>$/seat</t>
        </is>
      </c>
      <c r="E36" s="19" t="inlineStr">
        <is>
          <t>27</t>
        </is>
      </c>
      <c r="F36" s="20" t="n">
        <v>54</v>
      </c>
      <c r="G36" s="20" t="n">
        <v>108</v>
      </c>
      <c r="H36" s="20" t="n">
        <v>270</v>
      </c>
      <c r="I36" s="21" t="inlineStr">
        <is>
          <t>IDE IA — alternative ou complément Claude Code.</t>
        </is>
      </c>
    </row>
    <row r="37" ht="22" customHeight="1">
      <c r="A37" s="16" t="inlineStr">
        <is>
          <t>C. Outils dev</t>
        </is>
      </c>
      <c r="B37" s="17" t="inlineStr">
        <is>
          <t>GitHub Copilot Business</t>
        </is>
      </c>
      <c r="C37" s="18" t="inlineStr">
        <is>
          <t>$19 USD/seat</t>
        </is>
      </c>
      <c r="D37" s="16" t="inlineStr">
        <is>
          <t>$/seat</t>
        </is>
      </c>
      <c r="E37" s="19" t="inlineStr">
        <is>
          <t>26</t>
        </is>
      </c>
      <c r="F37" s="20" t="n">
        <v>52</v>
      </c>
      <c r="G37" s="20" t="n">
        <v>104</v>
      </c>
      <c r="H37" s="20" t="n">
        <v>260</v>
      </c>
      <c r="I37" s="21" t="inlineStr">
        <is>
          <t>Co-coding mobile + backend.</t>
        </is>
      </c>
    </row>
    <row r="38" ht="22" customHeight="1">
      <c r="A38" s="16" t="inlineStr">
        <is>
          <t>C. Outils dev</t>
        </is>
      </c>
      <c r="B38" s="17" t="inlineStr">
        <is>
          <t>GitHub Team</t>
        </is>
      </c>
      <c r="C38" s="18" t="inlineStr">
        <is>
          <t>$4 USD/seat</t>
        </is>
      </c>
      <c r="D38" s="16" t="inlineStr">
        <is>
          <t>$/seat</t>
        </is>
      </c>
      <c r="E38" s="19" t="inlineStr">
        <is>
          <t>5</t>
        </is>
      </c>
      <c r="F38" s="20" t="n">
        <v>20</v>
      </c>
      <c r="G38" s="20" t="n">
        <v>45</v>
      </c>
      <c r="H38" s="20" t="n">
        <v>120</v>
      </c>
      <c r="I38" s="21" t="inlineStr">
        <is>
          <t>Private repos + actions minutes.</t>
        </is>
      </c>
    </row>
    <row r="39" ht="22" customHeight="1">
      <c r="A39" s="16" t="inlineStr">
        <is>
          <t>C. Outils dev</t>
        </is>
      </c>
      <c r="B39" s="17" t="inlineStr">
        <is>
          <t>Cluely</t>
        </is>
      </c>
      <c r="C39" s="18" t="inlineStr">
        <is>
          <t>$20 USD/seat</t>
        </is>
      </c>
      <c r="D39" s="16" t="inlineStr">
        <is>
          <t>$/seat</t>
        </is>
      </c>
      <c r="E39" s="19" t="inlineStr">
        <is>
          <t>27</t>
        </is>
      </c>
      <c r="F39" s="20" t="n">
        <v>54</v>
      </c>
      <c r="G39" s="20" t="n">
        <v>108</v>
      </c>
      <c r="H39" s="20" t="n">
        <v>270</v>
      </c>
      <c r="I39" s="21" t="inlineStr">
        <is>
          <t>Meeting assistant — calls courtiers + démos.</t>
        </is>
      </c>
    </row>
    <row r="40" ht="22" customHeight="1">
      <c r="A40" s="16" t="inlineStr">
        <is>
          <t>C. Outils dev</t>
        </is>
      </c>
      <c r="B40" s="17" t="inlineStr">
        <is>
          <t>Superwhisper</t>
        </is>
      </c>
      <c r="C40" s="18" t="inlineStr">
        <is>
          <t>$8.49 USD/seat</t>
        </is>
      </c>
      <c r="D40" s="16" t="inlineStr">
        <is>
          <t>$/seat</t>
        </is>
      </c>
      <c r="E40" s="19" t="inlineStr">
        <is>
          <t>12</t>
        </is>
      </c>
      <c r="F40" s="20" t="n">
        <v>24</v>
      </c>
      <c r="G40" s="20" t="n">
        <v>48</v>
      </c>
      <c r="H40" s="20" t="n">
        <v>120</v>
      </c>
      <c r="I40" s="21" t="inlineStr">
        <is>
          <t>Dictation IA — productivité notes/comms.</t>
        </is>
      </c>
    </row>
    <row r="41" ht="22" customHeight="1">
      <c r="A41" s="16" t="inlineStr">
        <is>
          <t>C. Outils dev</t>
        </is>
      </c>
      <c r="B41" s="17" t="inlineStr">
        <is>
          <t>Linear Standard</t>
        </is>
      </c>
      <c r="C41" s="18" t="inlineStr">
        <is>
          <t>$10 USD/seat</t>
        </is>
      </c>
      <c r="D41" s="16" t="inlineStr">
        <is>
          <t>$/seat</t>
        </is>
      </c>
      <c r="E41" s="19" t="inlineStr">
        <is>
          <t>14</t>
        </is>
      </c>
      <c r="F41" s="20" t="n">
        <v>28</v>
      </c>
      <c r="G41" s="20" t="n">
        <v>70</v>
      </c>
      <c r="H41" s="20" t="n">
        <v>210</v>
      </c>
      <c r="I41" s="21" t="inlineStr">
        <is>
          <t>Tickets + roadmap (alternative Jira).</t>
        </is>
      </c>
    </row>
    <row r="42" ht="22" customHeight="1">
      <c r="A42" s="16" t="inlineStr">
        <is>
          <t>C. Outils dev</t>
        </is>
      </c>
      <c r="B42" s="17" t="inlineStr">
        <is>
          <t>Jira Standard (option)</t>
        </is>
      </c>
      <c r="C42" s="18" t="inlineStr">
        <is>
          <t>$8.15 USD/seat</t>
        </is>
      </c>
      <c r="D42" s="16" t="inlineStr">
        <is>
          <t>$/seat</t>
        </is>
      </c>
      <c r="E42" s="19" t="inlineStr">
        <is>
          <t>11</t>
        </is>
      </c>
      <c r="F42" s="20" t="n">
        <v>0</v>
      </c>
      <c r="G42" s="20" t="n">
        <v>0</v>
      </c>
      <c r="H42" s="20" t="n">
        <v>330</v>
      </c>
      <c r="I42" s="21" t="inlineStr">
        <is>
          <t>Si franchise impose ; sinon Linear.</t>
        </is>
      </c>
    </row>
    <row r="43" ht="22" customHeight="1">
      <c r="A43" s="16" t="inlineStr">
        <is>
          <t>C. Outils dev</t>
        </is>
      </c>
      <c r="B43" s="17" t="inlineStr">
        <is>
          <t>Figma Professional</t>
        </is>
      </c>
      <c r="C43" s="18" t="inlineStr">
        <is>
          <t>$15 USD/editor</t>
        </is>
      </c>
      <c r="D43" s="16" t="inlineStr">
        <is>
          <t>$/seat</t>
        </is>
      </c>
      <c r="E43" s="19" t="inlineStr">
        <is>
          <t>20</t>
        </is>
      </c>
      <c r="F43" s="20" t="n">
        <v>40</v>
      </c>
      <c r="G43" s="20" t="n">
        <v>80</v>
      </c>
      <c r="H43" s="20" t="n">
        <v>240</v>
      </c>
      <c r="I43" s="21" t="inlineStr">
        <is>
          <t>Design system + handoff dev.</t>
        </is>
      </c>
    </row>
    <row r="44" ht="22" customHeight="1">
      <c r="A44" s="16" t="inlineStr">
        <is>
          <t>C. Outils dev</t>
        </is>
      </c>
      <c r="B44" s="17" t="inlineStr">
        <is>
          <t>Notion Plus</t>
        </is>
      </c>
      <c r="C44" s="18" t="inlineStr">
        <is>
          <t>$10 USD/seat</t>
        </is>
      </c>
      <c r="D44" s="16" t="inlineStr">
        <is>
          <t>$/seat</t>
        </is>
      </c>
      <c r="E44" s="19" t="inlineStr">
        <is>
          <t>14</t>
        </is>
      </c>
      <c r="F44" s="20" t="n">
        <v>28</v>
      </c>
      <c r="G44" s="20" t="n">
        <v>70</v>
      </c>
      <c r="H44" s="20" t="n">
        <v>210</v>
      </c>
      <c r="I44" s="21" t="inlineStr">
        <is>
          <t>Docs internes + base de connaissance.</t>
        </is>
      </c>
    </row>
    <row r="45" ht="22" customHeight="1">
      <c r="A45" s="16" t="inlineStr">
        <is>
          <t>C. Outils dev</t>
        </is>
      </c>
      <c r="B45" s="17" t="inlineStr">
        <is>
          <t>Slack Pro</t>
        </is>
      </c>
      <c r="C45" s="18" t="inlineStr">
        <is>
          <t>$8.75 USD/seat</t>
        </is>
      </c>
      <c r="D45" s="16" t="inlineStr">
        <is>
          <t>$/seat</t>
        </is>
      </c>
      <c r="E45" s="19" t="inlineStr">
        <is>
          <t>12</t>
        </is>
      </c>
      <c r="F45" s="20" t="n">
        <v>24</v>
      </c>
      <c r="G45" s="20" t="n">
        <v>60</v>
      </c>
      <c r="H45" s="20" t="n">
        <v>180</v>
      </c>
      <c r="I45" s="21" t="inlineStr">
        <is>
          <t>Comms interne.</t>
        </is>
      </c>
    </row>
    <row r="46" ht="22" customHeight="1">
      <c r="A46" s="16" t="inlineStr">
        <is>
          <t>C. Outils dev</t>
        </is>
      </c>
      <c r="B46" s="17" t="inlineStr">
        <is>
          <t>1Password Teams</t>
        </is>
      </c>
      <c r="C46" s="18" t="inlineStr">
        <is>
          <t>$4.99 USD/seat</t>
        </is>
      </c>
      <c r="D46" s="16" t="inlineStr">
        <is>
          <t>$/seat</t>
        </is>
      </c>
      <c r="E46" s="19" t="inlineStr">
        <is>
          <t>7</t>
        </is>
      </c>
      <c r="F46" s="20" t="n">
        <v>14</v>
      </c>
      <c r="G46" s="20" t="n">
        <v>35</v>
      </c>
      <c r="H46" s="20" t="n">
        <v>105</v>
      </c>
      <c r="I46" s="21" t="inlineStr">
        <is>
          <t>Secret management cofondateurs.</t>
        </is>
      </c>
    </row>
    <row r="47" ht="22" customHeight="1">
      <c r="A47" s="16" t="inlineStr">
        <is>
          <t>C. Outils dev</t>
        </is>
      </c>
      <c r="B47" s="17" t="inlineStr">
        <is>
          <t>Postman Team</t>
        </is>
      </c>
      <c r="C47" s="18" t="inlineStr">
        <is>
          <t>$19 USD/seat</t>
        </is>
      </c>
      <c r="D47" s="16" t="inlineStr">
        <is>
          <t>$/seat</t>
        </is>
      </c>
      <c r="E47" s="19" t="inlineStr">
        <is>
          <t>26</t>
        </is>
      </c>
      <c r="F47" s="20" t="n">
        <v>0</v>
      </c>
      <c r="G47" s="20" t="n">
        <v>78</v>
      </c>
      <c r="H47" s="20" t="n">
        <v>208</v>
      </c>
      <c r="I47" s="21" t="inlineStr">
        <is>
          <t>API testing — pertinent Next+.</t>
        </is>
      </c>
    </row>
    <row r="48" ht="22" customHeight="1">
      <c r="A48" s="16" t="inlineStr">
        <is>
          <t>C. Outils dev</t>
        </is>
      </c>
      <c r="B48" s="17" t="inlineStr">
        <is>
          <t>TablePlus / Postico</t>
        </is>
      </c>
      <c r="C48" s="18" t="inlineStr">
        <is>
          <t>$59 USD/license</t>
        </is>
      </c>
      <c r="D48" s="16" t="inlineStr">
        <is>
          <t>$/license (one-time)</t>
        </is>
      </c>
      <c r="E48" s="19" t="inlineStr">
        <is>
          <t>80</t>
        </is>
      </c>
      <c r="F48" s="20" t="n">
        <v>0</v>
      </c>
      <c r="G48" s="20" t="n">
        <v>0</v>
      </c>
      <c r="H48" s="20" t="n">
        <v>0</v>
      </c>
      <c r="I48" s="21" t="inlineStr">
        <is>
          <t>Licences perpétuelles dev (amorties).</t>
        </is>
      </c>
    </row>
    <row r="49" ht="22" customHeight="1">
      <c r="A49" s="13" t="inlineStr">
        <is>
          <t>D. Conformité</t>
        </is>
      </c>
      <c r="B49" s="14" t="n"/>
      <c r="C49" s="14" t="n"/>
      <c r="D49" s="14" t="n"/>
      <c r="E49" s="14" t="n"/>
      <c r="F49" s="14" t="n"/>
      <c r="G49" s="14" t="n"/>
      <c r="H49" s="14" t="n"/>
      <c r="I49" s="15" t="n"/>
    </row>
    <row r="50" ht="22" customHeight="1">
      <c r="A50" s="16" t="inlineStr">
        <is>
          <t>D. Conformité</t>
        </is>
      </c>
      <c r="B50" s="17" t="inlineStr">
        <is>
          <t>Notarius Signature</t>
        </is>
      </c>
      <c r="C50" s="18" t="inlineStr">
        <is>
          <t>Par signature</t>
        </is>
      </c>
      <c r="D50" s="16" t="inlineStr">
        <is>
          <t>$/signature (~2,50 USD)</t>
        </is>
      </c>
      <c r="E50" s="19" t="inlineStr">
        <is>
          <t>3,40</t>
        </is>
      </c>
      <c r="F50" s="20" t="n">
        <v>27</v>
      </c>
      <c r="G50" s="20" t="n">
        <v>680</v>
      </c>
      <c r="H50" s="20" t="n">
        <v>3400</v>
      </c>
      <c r="I50" s="21" t="inlineStr">
        <is>
          <t>~2 signatures/offre × 4 offres/courtier/mois × 50% adoption.</t>
        </is>
      </c>
    </row>
    <row r="51" ht="22" customHeight="1">
      <c r="A51" s="16" t="inlineStr">
        <is>
          <t>D. Conformité</t>
        </is>
      </c>
      <c r="B51" s="17" t="inlineStr">
        <is>
          <t>DocuSign Business Pro</t>
        </is>
      </c>
      <c r="C51" s="18" t="inlineStr">
        <is>
          <t>$45 USD/seat</t>
        </is>
      </c>
      <c r="D51" s="16" t="inlineStr">
        <is>
          <t>$/seat</t>
        </is>
      </c>
      <c r="E51" s="19" t="inlineStr">
        <is>
          <t>61</t>
        </is>
      </c>
      <c r="F51" s="20" t="n">
        <v>61</v>
      </c>
      <c r="G51" s="20" t="n">
        <v>245</v>
      </c>
      <c r="H51" s="20" t="n">
        <v>1830</v>
      </c>
      <c r="I51" s="21" t="inlineStr">
        <is>
          <t>Hors-QC ; toggle settings courtier.</t>
        </is>
      </c>
    </row>
    <row r="52" ht="22" customHeight="1">
      <c r="A52" s="16" t="inlineStr">
        <is>
          <t>D. Conformité</t>
        </is>
      </c>
      <c r="B52" s="17" t="inlineStr">
        <is>
          <t>DPO retainer externe</t>
        </is>
      </c>
      <c r="C52" s="18" t="inlineStr">
        <is>
          <t>Conseil mensuel</t>
        </is>
      </c>
      <c r="D52" s="16" t="inlineStr">
        <is>
          <t>$/mois</t>
        </is>
      </c>
      <c r="E52" s="19" t="inlineStr">
        <is>
          <t>500</t>
        </is>
      </c>
      <c r="F52" s="20" t="n">
        <v>500</v>
      </c>
      <c r="G52" s="20" t="n">
        <v>750</v>
      </c>
      <c r="H52" s="20" t="n">
        <v>1500</v>
      </c>
      <c r="I52" s="21" t="inlineStr">
        <is>
          <t>Loi 25 + revue OACIQ + audits.</t>
        </is>
      </c>
    </row>
    <row r="53" ht="22" customHeight="1">
      <c r="A53" s="16" t="inlineStr">
        <is>
          <t>D. Conformité</t>
        </is>
      </c>
      <c r="B53" s="17" t="inlineStr">
        <is>
          <t>Conseil juridique</t>
        </is>
      </c>
      <c r="C53" s="18" t="inlineStr">
        <is>
          <t>Retainer</t>
        </is>
      </c>
      <c r="D53" s="16" t="inlineStr">
        <is>
          <t>$/mois</t>
        </is>
      </c>
      <c r="E53" s="19" t="inlineStr">
        <is>
          <t>800</t>
        </is>
      </c>
      <c r="F53" s="20" t="n">
        <v>800</v>
      </c>
      <c r="G53" s="20" t="n">
        <v>800</v>
      </c>
      <c r="H53" s="20" t="n">
        <v>1200</v>
      </c>
      <c r="I53" s="21" t="inlineStr">
        <is>
          <t>Contrats, OACIQ, marques, levées.</t>
        </is>
      </c>
    </row>
    <row r="54" ht="22" customHeight="1">
      <c r="A54" s="16" t="inlineStr">
        <is>
          <t>D. Conformité</t>
        </is>
      </c>
      <c r="B54" s="17" t="inlineStr">
        <is>
          <t>Pen-test annuel</t>
        </is>
      </c>
      <c r="C54" s="18" t="inlineStr">
        <is>
          <t>Audit externe</t>
        </is>
      </c>
      <c r="D54" s="16" t="inlineStr">
        <is>
          <t>$/an amorti</t>
        </is>
      </c>
      <c r="E54" s="19" t="inlineStr">
        <is>
          <t>1000</t>
        </is>
      </c>
      <c r="F54" s="20" t="n">
        <v>0</v>
      </c>
      <c r="G54" s="20" t="n">
        <v>1000</v>
      </c>
      <c r="H54" s="20" t="n">
        <v>1500</v>
      </c>
      <c r="I54" s="21" t="inlineStr">
        <is>
          <t>Requis Next pour DPIA + SOC 2 prep.</t>
        </is>
      </c>
    </row>
    <row r="55" ht="22" customHeight="1">
      <c r="A55" s="16" t="inlineStr">
        <is>
          <t>D. Conformité</t>
        </is>
      </c>
      <c r="B55" s="17" t="inlineStr">
        <is>
          <t>SOC 2 Type I (Vanta)</t>
        </is>
      </c>
      <c r="C55" s="18" t="inlineStr">
        <is>
          <t>$11k/an amorti</t>
        </is>
      </c>
      <c r="D55" s="16" t="inlineStr">
        <is>
          <t>$/mois</t>
        </is>
      </c>
      <c r="E55" s="19" t="inlineStr">
        <is>
          <t>917</t>
        </is>
      </c>
      <c r="F55" s="20" t="n">
        <v>0</v>
      </c>
      <c r="G55" s="20" t="n">
        <v>917</v>
      </c>
      <c r="H55" s="20" t="n">
        <v>1200</v>
      </c>
      <c r="I55" s="21" t="inlineStr">
        <is>
          <t>Démarrage Next, certification visée Later.</t>
        </is>
      </c>
    </row>
    <row r="56" ht="22" customHeight="1">
      <c r="A56" s="16" t="inlineStr">
        <is>
          <t>D. Conformité</t>
        </is>
      </c>
      <c r="B56" s="17" t="inlineStr">
        <is>
          <t>Cyber insurance</t>
        </is>
      </c>
      <c r="C56" s="18" t="inlineStr">
        <is>
          <t>Police $1M</t>
        </is>
      </c>
      <c r="D56" s="16" t="inlineStr">
        <is>
          <t>$/mois</t>
        </is>
      </c>
      <c r="E56" s="19" t="inlineStr">
        <is>
          <t>250</t>
        </is>
      </c>
      <c r="F56" s="20" t="n">
        <v>250</v>
      </c>
      <c r="G56" s="20" t="n">
        <v>400</v>
      </c>
      <c r="H56" s="20" t="n">
        <v>800</v>
      </c>
      <c r="I56" s="21" t="inlineStr">
        <is>
          <t>Couverture exfiltration + RC pro.</t>
        </is>
      </c>
    </row>
    <row r="57" ht="22" customHeight="1">
      <c r="A57" s="13" t="inlineStr">
        <is>
          <t>E. Marketing</t>
        </is>
      </c>
      <c r="B57" s="14" t="n"/>
      <c r="C57" s="14" t="n"/>
      <c r="D57" s="14" t="n"/>
      <c r="E57" s="14" t="n"/>
      <c r="F57" s="14" t="n"/>
      <c r="G57" s="14" t="n"/>
      <c r="H57" s="14" t="n"/>
      <c r="I57" s="15" t="n"/>
    </row>
    <row r="58" ht="22" customHeight="1">
      <c r="A58" s="16" t="inlineStr">
        <is>
          <t>E. Marketing</t>
        </is>
      </c>
      <c r="B58" s="17" t="inlineStr">
        <is>
          <t>Domaine klaris.app</t>
        </is>
      </c>
      <c r="C58" s="18" t="inlineStr">
        <is>
          <t>Annuel</t>
        </is>
      </c>
      <c r="D58" s="16" t="inlineStr">
        <is>
          <t>$/an amorti</t>
        </is>
      </c>
      <c r="E58" s="19" t="inlineStr">
        <is>
          <t>2</t>
        </is>
      </c>
      <c r="F58" s="20" t="n">
        <v>2</v>
      </c>
      <c r="G58" s="20" t="n">
        <v>2</v>
      </c>
      <c r="H58" s="20" t="n">
        <v>2</v>
      </c>
      <c r="I58" s="21" t="inlineStr">
        <is>
          <t>OVH/Cloudflare.</t>
        </is>
      </c>
    </row>
    <row r="59" ht="22" customHeight="1">
      <c r="A59" s="16" t="inlineStr">
        <is>
          <t>E. Marketing</t>
        </is>
      </c>
      <c r="B59" s="17" t="inlineStr">
        <is>
          <t>Google Workspace Business</t>
        </is>
      </c>
      <c r="C59" s="18" t="inlineStr">
        <is>
          <t>$6 USD/seat</t>
        </is>
      </c>
      <c r="D59" s="16" t="inlineStr">
        <is>
          <t>$/seat</t>
        </is>
      </c>
      <c r="E59" s="19" t="inlineStr">
        <is>
          <t>8</t>
        </is>
      </c>
      <c r="F59" s="20" t="n">
        <v>32</v>
      </c>
      <c r="G59" s="20" t="n">
        <v>80</v>
      </c>
      <c r="H59" s="20" t="n">
        <v>240</v>
      </c>
      <c r="I59" s="21" t="inlineStr">
        <is>
          <t>Mail @nextmove.app — cofondateurs + équipe.</t>
        </is>
      </c>
    </row>
    <row r="60" ht="22" customHeight="1">
      <c r="A60" s="16" t="inlineStr">
        <is>
          <t>E. Marketing</t>
        </is>
      </c>
      <c r="B60" s="17" t="inlineStr">
        <is>
          <t>HubSpot Sales Starter</t>
        </is>
      </c>
      <c r="C60" s="18" t="inlineStr">
        <is>
          <t>$20 USD/seat</t>
        </is>
      </c>
      <c r="D60" s="16" t="inlineStr">
        <is>
          <t>$/seat</t>
        </is>
      </c>
      <c r="E60" s="19" t="inlineStr">
        <is>
          <t>27</t>
        </is>
      </c>
      <c r="F60" s="20" t="n">
        <v>27</v>
      </c>
      <c r="G60" s="20" t="n">
        <v>135</v>
      </c>
      <c r="H60" s="20" t="n">
        <v>540</v>
      </c>
      <c r="I60" s="21" t="inlineStr">
        <is>
          <t>CRM sales équipe.</t>
        </is>
      </c>
    </row>
    <row r="61" ht="22" customHeight="1">
      <c r="A61" s="16" t="inlineStr">
        <is>
          <t>E. Marketing</t>
        </is>
      </c>
      <c r="B61" s="17" t="inlineStr">
        <is>
          <t>Customer.io</t>
        </is>
      </c>
      <c r="C61" s="18" t="inlineStr">
        <is>
          <t>Email auto $100</t>
        </is>
      </c>
      <c r="D61" s="16" t="inlineStr">
        <is>
          <t>$/mois</t>
        </is>
      </c>
      <c r="E61" s="19" t="inlineStr">
        <is>
          <t>100</t>
        </is>
      </c>
      <c r="F61" s="20" t="n">
        <v>0</v>
      </c>
      <c r="G61" s="20" t="n">
        <v>100</v>
      </c>
      <c r="H61" s="20" t="n">
        <v>350</v>
      </c>
      <c r="I61" s="21" t="inlineStr">
        <is>
          <t>Onboarding séquences + nurture.</t>
        </is>
      </c>
    </row>
    <row r="62" ht="22" customHeight="1">
      <c r="A62" s="16" t="inlineStr">
        <is>
          <t>E. Marketing</t>
        </is>
      </c>
      <c r="B62" s="17" t="inlineStr">
        <is>
          <t>Google Ads</t>
        </is>
      </c>
      <c r="C62" s="18" t="inlineStr">
        <is>
          <t>Budget mensuel</t>
        </is>
      </c>
      <c r="D62" s="16" t="inlineStr">
        <is>
          <t>$/mois</t>
        </is>
      </c>
      <c r="E62" s="19" t="inlineStr">
        <is>
          <t>var</t>
        </is>
      </c>
      <c r="F62" s="20" t="n">
        <v>500</v>
      </c>
      <c r="G62" s="20" t="n">
        <v>3000</v>
      </c>
      <c r="H62" s="20" t="n">
        <v>8000</v>
      </c>
      <c r="I62" s="21" t="inlineStr">
        <is>
          <t>Acquisition courtiers.</t>
        </is>
      </c>
    </row>
    <row r="63" ht="22" customHeight="1">
      <c r="A63" s="16" t="inlineStr">
        <is>
          <t>E. Marketing</t>
        </is>
      </c>
      <c r="B63" s="17" t="inlineStr">
        <is>
          <t>Meta Ads (FB/IG)</t>
        </is>
      </c>
      <c r="C63" s="18" t="inlineStr">
        <is>
          <t>Budget mensuel</t>
        </is>
      </c>
      <c r="D63" s="16" t="inlineStr">
        <is>
          <t>$/mois</t>
        </is>
      </c>
      <c r="E63" s="19" t="inlineStr">
        <is>
          <t>var</t>
        </is>
      </c>
      <c r="F63" s="20" t="n">
        <v>300</v>
      </c>
      <c r="G63" s="20" t="n">
        <v>2000</v>
      </c>
      <c r="H63" s="20" t="n">
        <v>5000</v>
      </c>
      <c r="I63" s="21" t="inlineStr">
        <is>
          <t>Acquisition courtiers.</t>
        </is>
      </c>
    </row>
    <row r="64" ht="22" customHeight="1">
      <c r="A64" s="16" t="inlineStr">
        <is>
          <t>E. Marketing</t>
        </is>
      </c>
      <c r="B64" s="17" t="inlineStr">
        <is>
          <t>Salons &amp; events</t>
        </is>
      </c>
      <c r="C64" s="18" t="inlineStr">
        <is>
          <t>Présence OACIQ</t>
        </is>
      </c>
      <c r="D64" s="16" t="inlineStr">
        <is>
          <t>$/mois amorti</t>
        </is>
      </c>
      <c r="E64" s="19" t="inlineStr">
        <is>
          <t>var</t>
        </is>
      </c>
      <c r="F64" s="20" t="n">
        <v>250</v>
      </c>
      <c r="G64" s="20" t="n">
        <v>500</v>
      </c>
      <c r="H64" s="20" t="n">
        <v>1500</v>
      </c>
      <c r="I64" s="21" t="inlineStr">
        <is>
          <t>Stands salons, dîners agences.</t>
        </is>
      </c>
    </row>
    <row r="65" ht="22" customHeight="1">
      <c r="A65" s="16" t="inlineStr">
        <is>
          <t>E. Marketing</t>
        </is>
      </c>
      <c r="B65" s="17" t="inlineStr">
        <is>
          <t>Brand &amp; creative</t>
        </is>
      </c>
      <c r="C65" s="18" t="inlineStr">
        <is>
          <t>Freelance design</t>
        </is>
      </c>
      <c r="D65" s="16" t="inlineStr">
        <is>
          <t>$/mois</t>
        </is>
      </c>
      <c r="E65" s="19" t="inlineStr">
        <is>
          <t>var</t>
        </is>
      </c>
      <c r="F65" s="20" t="n">
        <v>500</v>
      </c>
      <c r="G65" s="20" t="n">
        <v>1500</v>
      </c>
      <c r="H65" s="20" t="n">
        <v>2500</v>
      </c>
      <c r="I65" s="21" t="inlineStr">
        <is>
          <t>Captures, vidéos, decks ad-hoc.</t>
        </is>
      </c>
    </row>
    <row r="66" ht="22" customHeight="1">
      <c r="A66" s="16" t="inlineStr">
        <is>
          <t>E. Marketing</t>
        </is>
      </c>
      <c r="B66" s="17" t="inlineStr">
        <is>
          <t>PostHog ou Mixpanel</t>
        </is>
      </c>
      <c r="C66" s="18" t="inlineStr">
        <is>
          <t>Free → Growth</t>
        </is>
      </c>
      <c r="D66" s="16" t="inlineStr">
        <is>
          <t>$/mois</t>
        </is>
      </c>
      <c r="E66" s="19" t="inlineStr">
        <is>
          <t>var</t>
        </is>
      </c>
      <c r="F66" s="20" t="n">
        <v>0</v>
      </c>
      <c r="G66" s="20" t="n">
        <v>150</v>
      </c>
      <c r="H66" s="20" t="n">
        <v>600</v>
      </c>
      <c r="I66" s="21" t="inlineStr">
        <is>
          <t>Product analytics.</t>
        </is>
      </c>
    </row>
    <row r="67" ht="22" customHeight="1">
      <c r="A67" s="16" t="inlineStr">
        <is>
          <t>E. Marketing</t>
        </is>
      </c>
      <c r="B67" s="17" t="inlineStr">
        <is>
          <t>Metabase Cloud</t>
        </is>
      </c>
      <c r="C67" s="18" t="inlineStr">
        <is>
          <t>Pro $85</t>
        </is>
      </c>
      <c r="D67" s="16" t="inlineStr">
        <is>
          <t>$/mois</t>
        </is>
      </c>
      <c r="E67" s="19" t="inlineStr">
        <is>
          <t>115</t>
        </is>
      </c>
      <c r="F67" s="20" t="n">
        <v>115</v>
      </c>
      <c r="G67" s="20" t="n">
        <v>115</v>
      </c>
      <c r="H67" s="20" t="n">
        <v>400</v>
      </c>
      <c r="I67" s="21" t="inlineStr">
        <is>
          <t>BI interne + agences.</t>
        </is>
      </c>
    </row>
    <row r="68" ht="22" customHeight="1">
      <c r="A68" s="13" t="inlineStr">
        <is>
          <t>F. Compta &amp; admin</t>
        </is>
      </c>
      <c r="B68" s="14" t="n"/>
      <c r="C68" s="14" t="n"/>
      <c r="D68" s="14" t="n"/>
      <c r="E68" s="14" t="n"/>
      <c r="F68" s="14" t="n"/>
      <c r="G68" s="14" t="n"/>
      <c r="H68" s="14" t="n"/>
      <c r="I68" s="15" t="n"/>
    </row>
    <row r="69" ht="22" customHeight="1">
      <c r="A69" s="16" t="inlineStr">
        <is>
          <t>F. Compta &amp; admin</t>
        </is>
      </c>
      <c r="B69" s="17" t="inlineStr">
        <is>
          <t>QuickBooks Online Plus</t>
        </is>
      </c>
      <c r="C69" s="18" t="inlineStr">
        <is>
          <t>$90/mois</t>
        </is>
      </c>
      <c r="D69" s="16" t="inlineStr">
        <is>
          <t>$/mois</t>
        </is>
      </c>
      <c r="E69" s="19" t="inlineStr">
        <is>
          <t>90</t>
        </is>
      </c>
      <c r="F69" s="20" t="n">
        <v>90</v>
      </c>
      <c r="G69" s="20" t="n">
        <v>90</v>
      </c>
      <c r="H69" s="20" t="n">
        <v>180</v>
      </c>
      <c r="I69" s="21" t="inlineStr">
        <is>
          <t>Compta + payroll.</t>
        </is>
      </c>
    </row>
    <row r="70" ht="22" customHeight="1">
      <c r="A70" s="16" t="inlineStr">
        <is>
          <t>F. Compta &amp; admin</t>
        </is>
      </c>
      <c r="B70" s="17" t="inlineStr">
        <is>
          <t>Stripe</t>
        </is>
      </c>
      <c r="C70" s="18" t="inlineStr">
        <is>
          <t>2,9% + 0,30$/trx</t>
        </is>
      </c>
      <c r="D70" s="16" t="inlineStr">
        <is>
          <t>% revenus</t>
        </is>
      </c>
      <c r="E70" s="19" t="inlineStr">
        <is>
          <t>var</t>
        </is>
      </c>
      <c r="F70" s="20" t="n">
        <v>30</v>
      </c>
      <c r="G70" s="20" t="n">
        <v>725</v>
      </c>
      <c r="H70" s="20" t="n">
        <v>3625</v>
      </c>
      <c r="I70" s="21" t="inlineStr">
        <is>
          <t>~2,9% du MRR.</t>
        </is>
      </c>
    </row>
    <row r="71" ht="22" customHeight="1">
      <c r="A71" s="16" t="inlineStr">
        <is>
          <t>F. Compta &amp; admin</t>
        </is>
      </c>
      <c r="B71" s="17" t="inlineStr">
        <is>
          <t>Comptable externe</t>
        </is>
      </c>
      <c r="C71" s="18" t="inlineStr">
        <is>
          <t>CPA mensuel</t>
        </is>
      </c>
      <c r="D71" s="16" t="inlineStr">
        <is>
          <t>$/mois</t>
        </is>
      </c>
      <c r="E71" s="19" t="inlineStr">
        <is>
          <t>800</t>
        </is>
      </c>
      <c r="F71" s="20" t="n">
        <v>800</v>
      </c>
      <c r="G71" s="20" t="n">
        <v>1200</v>
      </c>
      <c r="H71" s="20" t="n">
        <v>2000</v>
      </c>
      <c r="I71" s="21" t="inlineStr">
        <is>
          <t>Bouclage mensuel + impôts.</t>
        </is>
      </c>
    </row>
    <row r="72" ht="22" customHeight="1">
      <c r="A72" s="16" t="inlineStr">
        <is>
          <t>F. Compta &amp; admin</t>
        </is>
      </c>
      <c r="B72" s="17" t="inlineStr">
        <is>
          <t>Banque entreprise</t>
        </is>
      </c>
      <c r="C72" s="18" t="inlineStr">
        <is>
          <t>Frais mensuels</t>
        </is>
      </c>
      <c r="D72" s="16" t="inlineStr">
        <is>
          <t>$/mois</t>
        </is>
      </c>
      <c r="E72" s="19" t="inlineStr">
        <is>
          <t>30</t>
        </is>
      </c>
      <c r="F72" s="20" t="n">
        <v>30</v>
      </c>
      <c r="G72" s="20" t="n">
        <v>50</v>
      </c>
      <c r="H72" s="20" t="n">
        <v>100</v>
      </c>
      <c r="I72" s="21" t="inlineStr">
        <is>
          <t>Comptes + virements.</t>
        </is>
      </c>
    </row>
    <row r="73" ht="22" customHeight="1">
      <c r="A73" s="16" t="inlineStr">
        <is>
          <t>F. Compta &amp; admin</t>
        </is>
      </c>
      <c r="B73" s="17" t="inlineStr">
        <is>
          <t>Assurance RC pro</t>
        </is>
      </c>
      <c r="C73" s="18" t="inlineStr">
        <is>
          <t>Police</t>
        </is>
      </c>
      <c r="D73" s="16" t="inlineStr">
        <is>
          <t>$/mois</t>
        </is>
      </c>
      <c r="E73" s="19" t="inlineStr">
        <is>
          <t>150</t>
        </is>
      </c>
      <c r="F73" s="20" t="n">
        <v>150</v>
      </c>
      <c r="G73" s="20" t="n">
        <v>250</v>
      </c>
      <c r="H73" s="20" t="n">
        <v>500</v>
      </c>
      <c r="I73" s="21" t="inlineStr">
        <is>
          <t>Responsabilité civile pro.</t>
        </is>
      </c>
    </row>
    <row r="74" ht="22" customHeight="1">
      <c r="A74" s="16" t="inlineStr">
        <is>
          <t>F. Compta &amp; admin</t>
        </is>
      </c>
      <c r="B74" s="17" t="inlineStr">
        <is>
          <t>Office / coworking</t>
        </is>
      </c>
      <c r="C74" s="18" t="inlineStr">
        <is>
          <t>Espace partagé</t>
        </is>
      </c>
      <c r="D74" s="16" t="inlineStr">
        <is>
          <t>$/mois</t>
        </is>
      </c>
      <c r="E74" s="19" t="inlineStr">
        <is>
          <t>var</t>
        </is>
      </c>
      <c r="F74" s="20" t="n">
        <v>400</v>
      </c>
      <c r="G74" s="20" t="n">
        <v>1500</v>
      </c>
      <c r="H74" s="20" t="n">
        <v>4000</v>
      </c>
      <c r="I74" s="21" t="inlineStr">
        <is>
          <t>Lab Now → bureau Next → étage Later.</t>
        </is>
      </c>
    </row>
    <row r="76" ht="24" customHeight="1">
      <c r="A76" s="22" t="inlineStr">
        <is>
          <t>SOUS-TOTAUX PAR CATÉGORIE</t>
        </is>
      </c>
      <c r="B76" s="14" t="n"/>
      <c r="C76" s="14" t="n"/>
      <c r="D76" s="14" t="n"/>
      <c r="E76" s="14" t="n"/>
      <c r="F76" s="14" t="n"/>
      <c r="G76" s="14" t="n"/>
      <c r="H76" s="14" t="n"/>
      <c r="I76" s="15" t="n"/>
    </row>
    <row r="77">
      <c r="A77" s="23" t="n"/>
      <c r="B77" s="24" t="inlineStr">
        <is>
          <t>A. IA &amp; ML</t>
        </is>
      </c>
      <c r="C77" s="23" t="n"/>
      <c r="D77" s="23" t="n"/>
      <c r="E77" s="23" t="n"/>
      <c r="F77" s="25">
        <f>SUM(F6:F15)</f>
        <v/>
      </c>
      <c r="G77" s="25">
        <f>SUM(G6:G15)</f>
        <v/>
      </c>
      <c r="H77" s="25">
        <f>SUM(H6:H15)</f>
        <v/>
      </c>
      <c r="I77" s="23" t="n"/>
    </row>
    <row r="78">
      <c r="A78" s="26" t="n"/>
      <c r="B78" s="27" t="inlineStr">
        <is>
          <t>B. Infra prod</t>
        </is>
      </c>
      <c r="C78" s="26" t="n"/>
      <c r="D78" s="26" t="n"/>
      <c r="E78" s="26" t="n"/>
      <c r="F78" s="28">
        <f>SUM(F17:F33)</f>
        <v/>
      </c>
      <c r="G78" s="28">
        <f>SUM(G17:G33)</f>
        <v/>
      </c>
      <c r="H78" s="28">
        <f>SUM(H17:H33)</f>
        <v/>
      </c>
      <c r="I78" s="26" t="n"/>
    </row>
    <row r="79">
      <c r="A79" s="29" t="n"/>
      <c r="B79" s="30" t="inlineStr">
        <is>
          <t>C. Outils dev</t>
        </is>
      </c>
      <c r="C79" s="29" t="n"/>
      <c r="D79" s="29" t="n"/>
      <c r="E79" s="29" t="n"/>
      <c r="F79" s="31">
        <f>SUM(F35:F48)</f>
        <v/>
      </c>
      <c r="G79" s="31">
        <f>SUM(G35:G48)</f>
        <v/>
      </c>
      <c r="H79" s="31">
        <f>SUM(H35:H48)</f>
        <v/>
      </c>
      <c r="I79" s="29" t="n"/>
    </row>
    <row r="80">
      <c r="A80" s="32" t="n"/>
      <c r="B80" s="33" t="inlineStr">
        <is>
          <t>D. Conformité</t>
        </is>
      </c>
      <c r="C80" s="32" t="n"/>
      <c r="D80" s="32" t="n"/>
      <c r="E80" s="32" t="n"/>
      <c r="F80" s="34">
        <f>SUM(F50:F56)</f>
        <v/>
      </c>
      <c r="G80" s="34">
        <f>SUM(G50:G56)</f>
        <v/>
      </c>
      <c r="H80" s="34">
        <f>SUM(H50:H56)</f>
        <v/>
      </c>
      <c r="I80" s="32" t="n"/>
    </row>
    <row r="81">
      <c r="A81" s="35" t="n"/>
      <c r="B81" s="36" t="inlineStr">
        <is>
          <t>E. Marketing</t>
        </is>
      </c>
      <c r="C81" s="35" t="n"/>
      <c r="D81" s="35" t="n"/>
      <c r="E81" s="35" t="n"/>
      <c r="F81" s="37">
        <f>SUM(F58:F67)</f>
        <v/>
      </c>
      <c r="G81" s="37">
        <f>SUM(G58:G67)</f>
        <v/>
      </c>
      <c r="H81" s="37">
        <f>SUM(H58:H67)</f>
        <v/>
      </c>
      <c r="I81" s="35" t="n"/>
    </row>
    <row r="82">
      <c r="A82" s="38" t="n"/>
      <c r="B82" s="39" t="inlineStr">
        <is>
          <t>F. Compta &amp; admin</t>
        </is>
      </c>
      <c r="C82" s="38" t="n"/>
      <c r="D82" s="38" t="n"/>
      <c r="E82" s="38" t="n"/>
      <c r="F82" s="40">
        <f>SUM(F69:F74)</f>
        <v/>
      </c>
      <c r="G82" s="40">
        <f>SUM(G69:G74)</f>
        <v/>
      </c>
      <c r="H82" s="40">
        <f>SUM(H69:H74)</f>
        <v/>
      </c>
      <c r="I82" s="38" t="n"/>
    </row>
    <row r="84" ht="28" customHeight="1">
      <c r="A84" s="41" t="n"/>
      <c r="B84" s="42" t="inlineStr">
        <is>
          <t>TOTAL OUTILS &amp; INFRA</t>
        </is>
      </c>
      <c r="C84" s="41" t="n"/>
      <c r="D84" s="41" t="n"/>
      <c r="E84" s="41" t="n"/>
      <c r="F84" s="43">
        <f>F77+F78+F79+F80+F81+F82</f>
        <v/>
      </c>
      <c r="G84" s="43">
        <f>G77+G78+G79+G80+G81+G82</f>
        <v/>
      </c>
      <c r="H84" s="43">
        <f>H77+H78+H79+H80+H81+H82</f>
        <v/>
      </c>
      <c r="I84" s="41" t="n"/>
    </row>
  </sheetData>
  <mergeCells count="9">
    <mergeCell ref="A57:I57"/>
    <mergeCell ref="A2:I2"/>
    <mergeCell ref="A49:I49"/>
    <mergeCell ref="A68:I68"/>
    <mergeCell ref="A5:I5"/>
    <mergeCell ref="A76:I76"/>
    <mergeCell ref="A1:I1"/>
    <mergeCell ref="A34:I34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>
      <c r="A1" s="1" t="inlineStr">
        <is>
          <t>COGS variable par courtier</t>
        </is>
      </c>
    </row>
    <row r="2">
      <c r="A2" s="2" t="inlineStr">
        <is>
          <t>Coûts directement attribuables à un courtier. Sert à calculer la marge brute par seat.</t>
        </is>
      </c>
    </row>
    <row r="4" ht="36" customHeight="1">
      <c r="A4" s="12" t="inlineStr">
        <is>
          <t>Composant</t>
        </is>
      </c>
      <c r="B4" s="12" t="inlineStr">
        <is>
          <t>Coût/courtier Now</t>
        </is>
      </c>
      <c r="C4" s="12" t="inlineStr">
        <is>
          <t>Coût/courtier Next</t>
        </is>
      </c>
      <c r="D4" s="12" t="inlineStr">
        <is>
          <t>Coût/courtier Later</t>
        </is>
      </c>
      <c r="E4" s="12" t="inlineStr">
        <is>
          <t>Source/Hypothèse</t>
        </is>
      </c>
      <c r="F4" s="12" t="inlineStr">
        <is>
          <t>Notes optimisation</t>
        </is>
      </c>
    </row>
    <row r="5" ht="22" customHeight="1">
      <c r="A5" s="18" t="inlineStr">
        <is>
          <t>Anthropic Claude (Sonnet + Haiku, qualif + briefing)</t>
        </is>
      </c>
      <c r="B5" s="44" t="n">
        <v>7.3</v>
      </c>
      <c r="C5" s="44" t="n">
        <v>7.25</v>
      </c>
      <c r="D5" s="44" t="n">
        <v>7.75</v>
      </c>
      <c r="E5" s="16" t="inlineStr">
        <is>
          <t>150k tokens/courtier/mois</t>
        </is>
      </c>
      <c r="F5" s="16" t="inlineStr">
        <is>
          <t>Prompt caching −90% Now ; négocié enterprise Later</t>
        </is>
      </c>
    </row>
    <row r="6" ht="22" customHeight="1">
      <c r="A6" s="18" t="inlineStr">
        <is>
          <t>Anthropic prompt cache économie</t>
        </is>
      </c>
      <c r="B6" s="44" t="n">
        <v>-0.8</v>
      </c>
      <c r="C6" s="44" t="n">
        <v>-0.8</v>
      </c>
      <c r="D6" s="44" t="n">
        <v>-0.9</v>
      </c>
      <c r="E6" s="16" t="inlineStr">
        <is>
          <t>5-min TTL cache hit ~60%</t>
        </is>
      </c>
      <c r="F6" s="16" t="inlineStr">
        <is>
          <t>—</t>
        </is>
      </c>
    </row>
    <row r="7" ht="22" customHeight="1">
      <c r="A7" s="18" t="inlineStr">
        <is>
          <t>OpenAI Whisper (transcription mémos)</t>
        </is>
      </c>
      <c r="B7" s="44" t="n">
        <v>1.22</v>
      </c>
      <c r="C7" s="44" t="n">
        <v>1.22</v>
      </c>
      <c r="D7" s="44" t="n">
        <v>1.23</v>
      </c>
      <c r="E7" s="16" t="inlineStr">
        <is>
          <t>30 min audio/courtier/mois</t>
        </is>
      </c>
      <c r="F7" s="16" t="inlineStr">
        <is>
          <t>Whisper local (Faster-Whisper) Later</t>
        </is>
      </c>
    </row>
    <row r="8" ht="22" customHeight="1">
      <c r="A8" s="18" t="inlineStr">
        <is>
          <t>OpenAI Embeddings (RAG)</t>
        </is>
      </c>
      <c r="B8" s="44" t="n">
        <v>0.3</v>
      </c>
      <c r="C8" s="44" t="n">
        <v>0.27</v>
      </c>
      <c r="D8" s="44" t="n">
        <v>0.27</v>
      </c>
      <c r="E8" s="16" t="inlineStr">
        <is>
          <t>500 chunks/courtier × 1536 dims</t>
        </is>
      </c>
      <c r="F8" s="16" t="inlineStr">
        <is>
          <t>Cache embeddings agences Next</t>
        </is>
      </c>
    </row>
    <row r="9" ht="22" customHeight="1">
      <c r="A9" s="18" t="inlineStr">
        <is>
          <t>Voyage Embeddings + Rerank (Next+)</t>
        </is>
      </c>
      <c r="B9" s="44" t="n">
        <v>0</v>
      </c>
      <c r="C9" s="44" t="n">
        <v>0.29</v>
      </c>
      <c r="D9" s="44" t="n">
        <v>0.29</v>
      </c>
      <c r="E9" s="16" t="inlineStr">
        <is>
          <t>RAG V2 upgrade</t>
        </is>
      </c>
      <c r="F9" s="16" t="inlineStr">
        <is>
          <t>Choisi quand precision@3 baseline plafonne</t>
        </is>
      </c>
    </row>
    <row r="10" ht="22" customHeight="1">
      <c r="A10" s="18" t="inlineStr">
        <is>
          <t>Twilio SMS volume (entrant + sortant)</t>
        </is>
      </c>
      <c r="B10" s="44" t="n">
        <v>6</v>
      </c>
      <c r="C10" s="44" t="n">
        <v>6</v>
      </c>
      <c r="D10" s="44" t="n">
        <v>6</v>
      </c>
      <c r="E10" s="16" t="inlineStr">
        <is>
          <t>600 SMS × 0,01$</t>
        </is>
      </c>
      <c r="F10" s="16" t="inlineStr">
        <is>
          <t>Négocier volume @ 500 courtiers</t>
        </is>
      </c>
    </row>
    <row r="11" ht="22" customHeight="1">
      <c r="A11" s="18" t="inlineStr">
        <is>
          <t>Twilio numéro local</t>
        </is>
      </c>
      <c r="B11" s="44" t="n">
        <v>2.04</v>
      </c>
      <c r="C11" s="44" t="n">
        <v>2.04</v>
      </c>
      <c r="D11" s="44" t="n">
        <v>2.04</v>
      </c>
      <c r="E11" s="16" t="inlineStr">
        <is>
          <t>1 numéro/courtier</t>
        </is>
      </c>
      <c r="F11" s="16" t="inlineStr">
        <is>
          <t>Mutualisation par agence (Later)</t>
        </is>
      </c>
    </row>
    <row r="12" ht="22" customHeight="1">
      <c r="A12" s="18" t="inlineStr">
        <is>
          <t>Supabase quota part (Pro plan / # courtiers)</t>
        </is>
      </c>
      <c r="B12" s="44" t="n">
        <v>2.5</v>
      </c>
      <c r="C12" s="44" t="n">
        <v>0.63</v>
      </c>
      <c r="D12" s="44" t="n">
        <v>0.5</v>
      </c>
      <c r="E12" s="16" t="inlineStr">
        <is>
          <t>$25 → $125 → $500 / N courtiers</t>
        </is>
      </c>
      <c r="F12" s="16" t="inlineStr">
        <is>
          <t>Économies d'échelle</t>
        </is>
      </c>
    </row>
    <row r="13" ht="22" customHeight="1">
      <c r="A13" s="18" t="inlineStr">
        <is>
          <t>Supabase storage + egress</t>
        </is>
      </c>
      <c r="B13" s="44" t="n">
        <v>0.3</v>
      </c>
      <c r="C13" s="44" t="n">
        <v>0.29</v>
      </c>
      <c r="D13" s="44" t="n">
        <v>0.28</v>
      </c>
      <c r="E13" s="16" t="inlineStr">
        <is>
          <t>150 MB + 2 GB egress / courtier</t>
        </is>
      </c>
      <c r="F13" s="16" t="inlineStr">
        <is>
          <t>CDN klaris.app Cloudflare</t>
        </is>
      </c>
    </row>
    <row r="14" ht="22" customHeight="1">
      <c r="A14" s="18" t="inlineStr">
        <is>
          <t>Sentry quota part</t>
        </is>
      </c>
      <c r="B14" s="44" t="n">
        <v>3.5</v>
      </c>
      <c r="C14" s="44" t="n">
        <v>0.43</v>
      </c>
      <c r="D14" s="44" t="n">
        <v>0.29</v>
      </c>
      <c r="E14" s="16" t="inlineStr">
        <is>
          <t>Plan team</t>
        </is>
      </c>
      <c r="F14" s="16" t="inlineStr">
        <is>
          <t>—</t>
        </is>
      </c>
    </row>
    <row r="15" ht="22" customHeight="1">
      <c r="A15" s="18" t="inlineStr">
        <is>
          <t>Logflare + Browserless quota part</t>
        </is>
      </c>
      <c r="B15" s="44" t="n">
        <v>10.2</v>
      </c>
      <c r="C15" s="44" t="n">
        <v>0.51</v>
      </c>
      <c r="D15" s="44" t="n">
        <v>0.3</v>
      </c>
      <c r="E15" s="16" t="inlineStr">
        <is>
          <t>Coûts fixes / N</t>
        </is>
      </c>
      <c r="F15" s="16" t="inlineStr">
        <is>
          <t>—</t>
        </is>
      </c>
    </row>
    <row r="16" ht="22" customHeight="1">
      <c r="A16" s="18" t="inlineStr">
        <is>
          <t>Notarius signatures (50% adoption)</t>
        </is>
      </c>
      <c r="B16" s="44" t="n">
        <v>2.7</v>
      </c>
      <c r="C16" s="44" t="n">
        <v>3.4</v>
      </c>
      <c r="D16" s="44" t="n">
        <v>3.4</v>
      </c>
      <c r="E16" s="16" t="inlineStr">
        <is>
          <t>4 sig/courtier/mois × 50% × 3,40$</t>
        </is>
      </c>
      <c r="F16" s="16" t="inlineStr">
        <is>
          <t>Volume → tarif négocié</t>
        </is>
      </c>
    </row>
    <row r="17" ht="22" customHeight="1">
      <c r="A17" s="18" t="inlineStr">
        <is>
          <t>DocuSign signatures (50% adoption EN-CA)</t>
        </is>
      </c>
      <c r="B17" s="44" t="n">
        <v>0</v>
      </c>
      <c r="C17" s="44" t="n">
        <v>0.3</v>
      </c>
      <c r="D17" s="44" t="n">
        <v>0.92</v>
      </c>
      <c r="E17" s="16" t="inlineStr">
        <is>
          <t>Adoption EN-CA Next+</t>
        </is>
      </c>
      <c r="F17" s="16" t="inlineStr">
        <is>
          <t>—</t>
        </is>
      </c>
    </row>
    <row r="18" ht="22" customHeight="1">
      <c r="A18" s="18" t="inlineStr">
        <is>
          <t>Stripe fees (% MRR)</t>
        </is>
      </c>
      <c r="B18" s="44" t="n">
        <v>2.9</v>
      </c>
      <c r="C18" s="44" t="n">
        <v>2.9</v>
      </c>
      <c r="D18" s="44" t="n">
        <v>3.63</v>
      </c>
      <c r="E18" s="16" t="inlineStr">
        <is>
          <t>2,9% × 100$ ou 200$ MRR</t>
        </is>
      </c>
      <c r="F18" s="16" t="inlineStr">
        <is>
          <t>—</t>
        </is>
      </c>
    </row>
    <row r="20" ht="26" customHeight="1">
      <c r="A20" s="42" t="inlineStr">
        <is>
          <t>TOTAL COGS / courtier / mois</t>
        </is>
      </c>
      <c r="B20" s="45">
        <f>SUM(B5:B18)</f>
        <v/>
      </c>
      <c r="C20" s="45">
        <f>SUM(C5:C18)</f>
        <v/>
      </c>
      <c r="D20" s="45">
        <f>SUM(D5:D18)</f>
        <v/>
      </c>
      <c r="E20" s="41" t="n"/>
      <c r="F20" s="41" t="n"/>
    </row>
    <row r="22">
      <c r="A22" s="46" t="inlineStr">
        <is>
          <t>Pricing Klaris (CAD/courtier/mois)</t>
        </is>
      </c>
      <c r="B22" s="44" t="n">
        <v>100</v>
      </c>
      <c r="C22" s="44" t="n">
        <v>100</v>
      </c>
      <c r="D22" s="44" t="n">
        <v>150</v>
      </c>
      <c r="E22" s="16" t="inlineStr">
        <is>
          <t>Solo Now ; Solo+Agence mix Next ; Mix +EN-CA Later</t>
        </is>
      </c>
      <c r="F22" s="47" t="n"/>
    </row>
    <row r="23" ht="26" customHeight="1">
      <c r="A23" s="42" t="inlineStr">
        <is>
          <t>Marge brute / courtier</t>
        </is>
      </c>
      <c r="B23" s="45">
        <f>B22 - B20</f>
        <v/>
      </c>
      <c r="C23" s="45">
        <f>C22 - C20</f>
        <v/>
      </c>
      <c r="D23" s="45">
        <f>D22 - D20</f>
        <v/>
      </c>
      <c r="E23" s="41" t="n"/>
      <c r="F23" s="41" t="n"/>
    </row>
    <row r="24" ht="26" customHeight="1">
      <c r="A24" s="42" t="inlineStr">
        <is>
          <t>Marge brute %</t>
        </is>
      </c>
      <c r="B24" s="48">
        <f>B23 / B22</f>
        <v/>
      </c>
      <c r="C24" s="48">
        <f>C23 / C22</f>
        <v/>
      </c>
      <c r="D24" s="48">
        <f>D23 / D22</f>
        <v/>
      </c>
      <c r="E24" s="41" t="n"/>
      <c r="F24" s="41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Salaires &amp; contractors</t>
        </is>
      </c>
    </row>
    <row r="2">
      <c r="A2" s="2" t="inlineStr">
        <is>
          <t>Montants $CAD/mois. Cofondateurs : équity-led Now, salaires progressifs Next+.</t>
        </is>
      </c>
    </row>
    <row r="4" ht="30" customHeight="1">
      <c r="A4" s="12" t="inlineStr">
        <is>
          <t>Rôle</t>
        </is>
      </c>
      <c r="B4" s="12" t="inlineStr">
        <is>
          <t>Personne / Profil</t>
        </is>
      </c>
      <c r="C4" s="12" t="inlineStr">
        <is>
          <t>Statut</t>
        </is>
      </c>
      <c r="D4" s="12" t="inlineStr">
        <is>
          <t>Now</t>
        </is>
      </c>
      <c r="E4" s="12" t="inlineStr">
        <is>
          <t>Next</t>
        </is>
      </c>
      <c r="F4" s="12" t="inlineStr">
        <is>
          <t>Later</t>
        </is>
      </c>
      <c r="G4" s="12" t="inlineStr">
        <is>
          <t>Notes</t>
        </is>
      </c>
    </row>
    <row r="5" ht="22" customHeight="1">
      <c r="A5" s="17" t="inlineStr">
        <is>
          <t>CEO / Produit</t>
        </is>
      </c>
      <c r="B5" s="18" t="inlineStr">
        <is>
          <t>Eliot</t>
        </is>
      </c>
      <c r="C5" s="16" t="inlineStr">
        <is>
          <t>Cofondateur</t>
        </is>
      </c>
      <c r="D5" s="20" t="n">
        <v>2000</v>
      </c>
      <c r="E5" s="20" t="n">
        <v>6000</v>
      </c>
      <c r="F5" s="20" t="n">
        <v>10000</v>
      </c>
      <c r="G5" s="16" t="inlineStr">
        <is>
          <t>Salaire faible Now (equity), market Next</t>
        </is>
      </c>
    </row>
    <row r="6" ht="22" customHeight="1">
      <c r="A6" s="17" t="inlineStr">
        <is>
          <t>CTO / Tech lead</t>
        </is>
      </c>
      <c r="B6" s="18" t="inlineStr">
        <is>
          <t>Dennis</t>
        </is>
      </c>
      <c r="C6" s="16" t="inlineStr">
        <is>
          <t>Cofondateur</t>
        </is>
      </c>
      <c r="D6" s="20" t="n">
        <v>2000</v>
      </c>
      <c r="E6" s="20" t="n">
        <v>7000</v>
      </c>
      <c r="F6" s="20" t="n">
        <v>12000</v>
      </c>
      <c r="G6" s="16" t="inlineStr">
        <is>
          <t>Tech lead, recrute équipe Next+</t>
        </is>
      </c>
    </row>
    <row r="7" ht="22" customHeight="1">
      <c r="A7" s="17" t="inlineStr">
        <is>
          <t>COO / Ventes</t>
        </is>
      </c>
      <c r="B7" s="18" t="inlineStr">
        <is>
          <t>Walkens</t>
        </is>
      </c>
      <c r="C7" s="16" t="inlineStr">
        <is>
          <t>Cofondateur</t>
        </is>
      </c>
      <c r="D7" s="20" t="n">
        <v>2000</v>
      </c>
      <c r="E7" s="20" t="n">
        <v>6000</v>
      </c>
      <c r="F7" s="20" t="n">
        <v>10000</v>
      </c>
      <c r="G7" s="16" t="inlineStr">
        <is>
          <t>Ventes courtiers, agences Next+</t>
        </is>
      </c>
    </row>
    <row r="8" ht="22" customHeight="1">
      <c r="A8" s="17" t="inlineStr">
        <is>
          <t>Growth / Ops</t>
        </is>
      </c>
      <c r="B8" s="18" t="inlineStr">
        <is>
          <t>Seydou</t>
        </is>
      </c>
      <c r="C8" s="16" t="inlineStr">
        <is>
          <t>Cofondateur</t>
        </is>
      </c>
      <c r="D8" s="20" t="n">
        <v>2000</v>
      </c>
      <c r="E8" s="20" t="n">
        <v>5500</v>
      </c>
      <c r="F8" s="20" t="n">
        <v>9000</v>
      </c>
      <c r="G8" s="16" t="inlineStr">
        <is>
          <t>Onboarding pilotes Now</t>
        </is>
      </c>
    </row>
    <row r="9" ht="22" customHeight="1">
      <c r="A9" s="17" t="inlineStr">
        <is>
          <t>Dev iOS Flutter</t>
        </is>
      </c>
      <c r="B9" s="18" t="inlineStr">
        <is>
          <t>Contractor</t>
        </is>
      </c>
      <c r="C9" s="16" t="inlineStr">
        <is>
          <t>Freelance</t>
        </is>
      </c>
      <c r="D9" s="20" t="n">
        <v>0</v>
      </c>
      <c r="E9" s="20" t="n">
        <v>8000</v>
      </c>
      <c r="F9" s="20" t="n">
        <v>10000</v>
      </c>
      <c r="G9" s="16" t="inlineStr">
        <is>
          <t>Sprint 7-8 Next ; emb. salarié Later</t>
        </is>
      </c>
    </row>
    <row r="10" ht="22" customHeight="1">
      <c r="A10" s="17" t="inlineStr">
        <is>
          <t>Dev backend / RAG</t>
        </is>
      </c>
      <c r="B10" s="18" t="inlineStr">
        <is>
          <t>Contractor</t>
        </is>
      </c>
      <c r="C10" s="16" t="inlineStr">
        <is>
          <t>Freelance</t>
        </is>
      </c>
      <c r="D10" s="20" t="n">
        <v>0</v>
      </c>
      <c r="E10" s="20" t="n">
        <v>7500</v>
      </c>
      <c r="F10" s="20" t="n">
        <v>10500</v>
      </c>
      <c r="G10" s="16" t="inlineStr">
        <is>
          <t>RAG V2/V3 Next ; salarié Later</t>
        </is>
      </c>
    </row>
    <row r="11" ht="22" customHeight="1">
      <c r="A11" s="17" t="inlineStr">
        <is>
          <t>Designer produit</t>
        </is>
      </c>
      <c r="B11" s="18" t="inlineStr">
        <is>
          <t>Contractor</t>
        </is>
      </c>
      <c r="C11" s="16" t="inlineStr">
        <is>
          <t>Freelance</t>
        </is>
      </c>
      <c r="D11" s="20" t="n">
        <v>0</v>
      </c>
      <c r="E11" s="20" t="n">
        <v>4000</v>
      </c>
      <c r="F11" s="20" t="n">
        <v>7500</v>
      </c>
      <c r="G11" s="16" t="inlineStr">
        <is>
          <t>Mi-temps Next ; full Later</t>
        </is>
      </c>
    </row>
    <row r="12" ht="22" customHeight="1">
      <c r="A12" s="17" t="inlineStr">
        <is>
          <t>Customer success</t>
        </is>
      </c>
      <c r="B12" s="18" t="inlineStr">
        <is>
          <t>Junior</t>
        </is>
      </c>
      <c r="C12" s="16" t="inlineStr">
        <is>
          <t>Salarié</t>
        </is>
      </c>
      <c r="D12" s="20" t="n">
        <v>0</v>
      </c>
      <c r="E12" s="20" t="n">
        <v>4500</v>
      </c>
      <c r="F12" s="20" t="n">
        <v>6000</v>
      </c>
      <c r="G12" s="16" t="inlineStr">
        <is>
          <t>Onboarding agences Next+</t>
        </is>
      </c>
    </row>
    <row r="13" ht="22" customHeight="1">
      <c r="A13" s="17" t="inlineStr">
        <is>
          <t>Sales rep agence</t>
        </is>
      </c>
      <c r="B13" s="18" t="inlineStr">
        <is>
          <t>Junior</t>
        </is>
      </c>
      <c r="C13" s="16" t="inlineStr">
        <is>
          <t>Salarié</t>
        </is>
      </c>
      <c r="D13" s="20" t="n">
        <v>0</v>
      </c>
      <c r="E13" s="20" t="n">
        <v>0</v>
      </c>
      <c r="F13" s="20" t="n">
        <v>6500</v>
      </c>
      <c r="G13" s="16" t="inlineStr">
        <is>
          <t>Couverture ON/QC Later</t>
        </is>
      </c>
    </row>
    <row r="14" ht="22" customHeight="1">
      <c r="A14" s="17" t="inlineStr">
        <is>
          <t>Compliance officer</t>
        </is>
      </c>
      <c r="B14" s="18" t="inlineStr">
        <is>
          <t>Contractor</t>
        </is>
      </c>
      <c r="C14" s="16" t="inlineStr">
        <is>
          <t>Mi-temps</t>
        </is>
      </c>
      <c r="D14" s="20" t="n">
        <v>0</v>
      </c>
      <c r="E14" s="20" t="n">
        <v>2000</v>
      </c>
      <c r="F14" s="20" t="n">
        <v>4500</v>
      </c>
      <c r="G14" s="16" t="inlineStr">
        <is>
          <t>Loi 25 + OACIQ + SOC 2</t>
        </is>
      </c>
    </row>
    <row r="15" ht="22" customHeight="1">
      <c r="A15" s="17" t="inlineStr">
        <is>
          <t>Stagiaire(s)</t>
        </is>
      </c>
      <c r="B15" s="18" t="inlineStr">
        <is>
          <t>Étudiants</t>
        </is>
      </c>
      <c r="C15" s="16" t="inlineStr">
        <is>
          <t>Stage</t>
        </is>
      </c>
      <c r="D15" s="20" t="n">
        <v>1000</v>
      </c>
      <c r="E15" s="20" t="n">
        <v>2000</v>
      </c>
      <c r="F15" s="20" t="n">
        <v>3000</v>
      </c>
      <c r="G15" s="16" t="inlineStr">
        <is>
          <t>Tech ou design</t>
        </is>
      </c>
    </row>
    <row r="16" ht="22" customHeight="1">
      <c r="A16" s="17" t="inlineStr">
        <is>
          <t>Charges sociales (~15%)</t>
        </is>
      </c>
      <c r="B16" s="18" t="inlineStr">
        <is>
          <t>—</t>
        </is>
      </c>
      <c r="C16" s="16" t="inlineStr">
        <is>
          <t>Provision</t>
        </is>
      </c>
      <c r="D16" s="20" t="n">
        <v>900</v>
      </c>
      <c r="E16" s="20" t="n">
        <v>6900</v>
      </c>
      <c r="F16" s="20" t="n">
        <v>11700</v>
      </c>
      <c r="G16" s="16" t="inlineStr">
        <is>
          <t>CNESST + RRQ + AE</t>
        </is>
      </c>
    </row>
    <row r="18" ht="28" customHeight="1">
      <c r="A18" s="42" t="inlineStr">
        <is>
          <t>TOTAL MASSE SALARIALE / MOIS</t>
        </is>
      </c>
      <c r="B18" s="41" t="n"/>
      <c r="C18" s="41" t="n"/>
      <c r="D18" s="43">
        <f>SUM(D5:D16)</f>
        <v/>
      </c>
      <c r="E18" s="43">
        <f>SUM(E5:E16)</f>
        <v/>
      </c>
      <c r="F18" s="43">
        <f>SUM(F5:F16)</f>
        <v/>
      </c>
      <c r="G18" s="41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1" t="inlineStr">
        <is>
          <t>Scénarios consolidés — P&amp;L mensuel</t>
        </is>
      </c>
    </row>
    <row r="2">
      <c r="A2" s="2" t="inlineStr">
        <is>
          <t>Synthèse mensuelle par horizon. Liens dynamiques vers les autres feuilles.</t>
        </is>
      </c>
    </row>
    <row r="4" ht="32" customHeight="1">
      <c r="A4" s="12" t="inlineStr">
        <is>
          <t>Ligne</t>
        </is>
      </c>
      <c r="B4" s="12" t="inlineStr">
        <is>
          <t>Now (10c)</t>
        </is>
      </c>
      <c r="C4" s="12" t="inlineStr">
        <is>
          <t>Next (200c)</t>
        </is>
      </c>
      <c r="D4" s="12" t="inlineStr">
        <is>
          <t>Later (1000c)</t>
        </is>
      </c>
      <c r="E4" s="12" t="inlineStr">
        <is>
          <t>Note</t>
        </is>
      </c>
    </row>
    <row r="5">
      <c r="A5" s="17" t="inlineStr">
        <is>
          <t>Courtiers actifs</t>
        </is>
      </c>
      <c r="B5" s="49" t="n">
        <v>10</v>
      </c>
      <c r="C5" s="50" t="n">
        <v>200</v>
      </c>
      <c r="D5" s="51" t="n">
        <v>1000</v>
      </c>
      <c r="E5" s="16" t="inlineStr">
        <is>
          <t>Cible MRR roadmap produit</t>
        </is>
      </c>
    </row>
    <row r="6">
      <c r="A6" s="17" t="inlineStr">
        <is>
          <t>ARPU mensuel ($CAD)</t>
        </is>
      </c>
      <c r="B6" s="52" t="n">
        <v>100</v>
      </c>
      <c r="C6" s="53" t="n">
        <v>125</v>
      </c>
      <c r="D6" s="54" t="n">
        <v>150</v>
      </c>
      <c r="E6" s="16" t="inlineStr">
        <is>
          <t>Mix Solo 100 $ / Agence 200 $ / EN-CA 150 $</t>
        </is>
      </c>
    </row>
    <row r="7">
      <c r="A7" s="17" t="inlineStr">
        <is>
          <t>Revenus mensuels</t>
        </is>
      </c>
      <c r="B7" s="55">
        <f>B5*B6</f>
        <v/>
      </c>
      <c r="C7" s="56">
        <f>C5*C6</f>
        <v/>
      </c>
      <c r="D7" s="57">
        <f>D5*D6</f>
        <v/>
      </c>
      <c r="E7" s="16" t="inlineStr">
        <is>
          <t>MRR cible roadmap = 1k / 25k / 125k</t>
        </is>
      </c>
    </row>
    <row r="8">
      <c r="A8" s="18" t="inlineStr"/>
      <c r="B8" s="58" t="n"/>
      <c r="C8" s="59" t="n"/>
      <c r="D8" s="60" t="n"/>
      <c r="E8" s="47" t="n"/>
    </row>
    <row r="9">
      <c r="A9" s="18" t="inlineStr">
        <is>
          <t>COGS variable / courtier</t>
        </is>
      </c>
      <c r="B9" s="52">
        <f>'COGS variable'!B20</f>
        <v/>
      </c>
      <c r="C9" s="53">
        <f>'COGS variable'!C20</f>
        <v/>
      </c>
      <c r="D9" s="54">
        <f>'COGS variable'!D20</f>
        <v/>
      </c>
      <c r="E9" s="16" t="inlineStr">
        <is>
          <t>Lien dynamique vers feuille COGS variable</t>
        </is>
      </c>
    </row>
    <row r="10">
      <c r="A10" s="17" t="inlineStr">
        <is>
          <t>COGS total mensuel</t>
        </is>
      </c>
      <c r="B10" s="55">
        <f>B5*B9</f>
        <v/>
      </c>
      <c r="C10" s="56">
        <f>C5*C9</f>
        <v/>
      </c>
      <c r="D10" s="57">
        <f>D5*D9</f>
        <v/>
      </c>
      <c r="E10" s="47" t="n"/>
    </row>
    <row r="11">
      <c r="A11" s="61" t="inlineStr">
        <is>
          <t>Marge brute</t>
        </is>
      </c>
      <c r="B11" s="62">
        <f>B7-B10</f>
        <v/>
      </c>
      <c r="C11" s="63">
        <f>C7-C10</f>
        <v/>
      </c>
      <c r="D11" s="64">
        <f>D7-D10</f>
        <v/>
      </c>
      <c r="E11" s="47" t="n"/>
    </row>
    <row r="12">
      <c r="A12" s="61" t="inlineStr">
        <is>
          <t>Marge brute %</t>
        </is>
      </c>
      <c r="B12" s="65">
        <f>B11/B7</f>
        <v/>
      </c>
      <c r="C12" s="66">
        <f>C11/C7</f>
        <v/>
      </c>
      <c r="D12" s="67">
        <f>D11/D7</f>
        <v/>
      </c>
      <c r="E12" s="47" t="n"/>
    </row>
    <row r="13">
      <c r="A13" s="47" t="n"/>
      <c r="B13" s="58" t="n"/>
      <c r="C13" s="59" t="n"/>
      <c r="D13" s="60" t="n"/>
      <c r="E13" s="47" t="n"/>
    </row>
    <row r="14">
      <c r="A14" s="18" t="inlineStr">
        <is>
          <t>OpEx — Outils &amp; infra (hors COGS variable)</t>
        </is>
      </c>
      <c r="B14" s="55">
        <f>'Outils &amp; Infra'!F84</f>
        <v/>
      </c>
      <c r="C14" s="56">
        <f>'Outils &amp; Infra'!G84</f>
        <v/>
      </c>
      <c r="D14" s="57">
        <f>'Outils &amp; Infra'!H84</f>
        <v/>
      </c>
      <c r="E14" s="16" t="inlineStr">
        <is>
          <t>Inclut tout : IA, infra, dev tools, compliance, marketing, admin</t>
        </is>
      </c>
    </row>
    <row r="15">
      <c r="A15" s="16" t="inlineStr">
        <is>
          <t>(dont déjà compté en COGS variable)</t>
        </is>
      </c>
      <c r="B15" s="55">
        <f>-B10</f>
        <v/>
      </c>
      <c r="C15" s="56">
        <f>-C10</f>
        <v/>
      </c>
      <c r="D15" s="57">
        <f>-D10</f>
        <v/>
      </c>
      <c r="E15" s="16" t="inlineStr">
        <is>
          <t>Ajustement pour éviter double comptage</t>
        </is>
      </c>
    </row>
    <row r="16">
      <c r="A16" s="17" t="inlineStr">
        <is>
          <t>OpEx infra nette (charges fixes)</t>
        </is>
      </c>
      <c r="B16" s="55">
        <f>B14+B15</f>
        <v/>
      </c>
      <c r="C16" s="56">
        <f>C14+C15</f>
        <v/>
      </c>
      <c r="D16" s="57">
        <f>D14+D15</f>
        <v/>
      </c>
      <c r="E16" s="47" t="n"/>
    </row>
    <row r="17">
      <c r="A17" s="17" t="inlineStr">
        <is>
          <t>Masse salariale</t>
        </is>
      </c>
      <c r="B17" s="55">
        <f>'Salaires &amp; talent'!D18</f>
        <v/>
      </c>
      <c r="C17" s="56">
        <f>'Salaires &amp; talent'!E18</f>
        <v/>
      </c>
      <c r="D17" s="57">
        <f>'Salaires &amp; talent'!F18</f>
        <v/>
      </c>
      <c r="E17" s="16" t="inlineStr">
        <is>
          <t>Cofondateurs + contractors + charges sociales</t>
        </is>
      </c>
    </row>
    <row r="18">
      <c r="A18" s="61" t="inlineStr">
        <is>
          <t>OpEx total</t>
        </is>
      </c>
      <c r="B18" s="62">
        <f>B16+B17</f>
        <v/>
      </c>
      <c r="C18" s="63">
        <f>C16+C17</f>
        <v/>
      </c>
      <c r="D18" s="64">
        <f>D16+D17</f>
        <v/>
      </c>
      <c r="E18" s="47" t="n"/>
    </row>
    <row r="19">
      <c r="A19" s="47" t="n"/>
      <c r="B19" s="58" t="n"/>
      <c r="C19" s="59" t="n"/>
      <c r="D19" s="60" t="n"/>
      <c r="E19" s="47" t="n"/>
    </row>
    <row r="20">
      <c r="A20" s="61" t="inlineStr">
        <is>
          <t>EBITDA mensuel</t>
        </is>
      </c>
      <c r="B20" s="55">
        <f>B11-B18</f>
        <v/>
      </c>
      <c r="C20" s="56">
        <f>C11-C18</f>
        <v/>
      </c>
      <c r="D20" s="57">
        <f>D11-D18</f>
        <v/>
      </c>
      <c r="E20" s="16" t="inlineStr">
        <is>
          <t>Marge brute − OpEx total</t>
        </is>
      </c>
    </row>
    <row r="21">
      <c r="A21" s="61" t="inlineStr">
        <is>
          <t>EBITDA mensuel %</t>
        </is>
      </c>
      <c r="B21" s="68">
        <f>B20/B7</f>
        <v/>
      </c>
      <c r="C21" s="69">
        <f>C20/C7</f>
        <v/>
      </c>
      <c r="D21" s="70">
        <f>D20/D7</f>
        <v/>
      </c>
      <c r="E21" s="47" t="n"/>
    </row>
    <row r="22">
      <c r="A22" s="17" t="inlineStr">
        <is>
          <t>Cash burn mensuel (si EBITDA &lt; 0)</t>
        </is>
      </c>
      <c r="B22" s="55">
        <f>IF(B20&lt;0,-B20,0)</f>
        <v/>
      </c>
      <c r="C22" s="56">
        <f>IF(C20&lt;0,-C20,0)</f>
        <v/>
      </c>
      <c r="D22" s="57">
        <f>IF(D20&lt;0,-D20,0)</f>
        <v/>
      </c>
      <c r="E22" s="47" t="n"/>
    </row>
    <row r="23">
      <c r="A23" s="18" t="inlineStr">
        <is>
          <t>Cash levé cumulé ($CAD)</t>
        </is>
      </c>
      <c r="B23" s="55" t="n">
        <v>250000</v>
      </c>
      <c r="C23" s="56" t="n">
        <v>1750000</v>
      </c>
      <c r="D23" s="57" t="n">
        <v>1750000</v>
      </c>
      <c r="E23" s="16" t="inlineStr">
        <is>
          <t>Pré-amorçage 250k → +Seed 1,5M cumulé</t>
        </is>
      </c>
    </row>
    <row r="24">
      <c r="A24" s="61" t="inlineStr">
        <is>
          <t>Runway (mois si burn constant)</t>
        </is>
      </c>
      <c r="B24" s="71">
        <f>IF(B22&gt;0,B23/B22,"∞")</f>
        <v/>
      </c>
      <c r="C24" s="72">
        <f>IF(C22&gt;0,C23/C22,"∞")</f>
        <v/>
      </c>
      <c r="D24" s="73">
        <f>IF(D22&gt;0,D23/D22,"∞")</f>
        <v/>
      </c>
      <c r="E24" s="47" t="n"/>
    </row>
    <row r="25">
      <c r="A25" s="47" t="n"/>
      <c r="B25" s="58" t="n"/>
      <c r="C25" s="59" t="n"/>
      <c r="D25" s="60" t="n"/>
      <c r="E25" s="47" t="n"/>
    </row>
    <row r="26">
      <c r="A26" s="17" t="inlineStr">
        <is>
          <t>Revenus annualisés (×12)</t>
        </is>
      </c>
      <c r="B26" s="55">
        <f>B7*12</f>
        <v/>
      </c>
      <c r="C26" s="56">
        <f>C7*12</f>
        <v/>
      </c>
      <c r="D26" s="57">
        <f>D7*12</f>
        <v/>
      </c>
      <c r="E26" s="16" t="inlineStr">
        <is>
          <t>ARR cible</t>
        </is>
      </c>
    </row>
    <row r="27">
      <c r="A27" s="17" t="inlineStr">
        <is>
          <t>OpEx annualisée (×12)</t>
        </is>
      </c>
      <c r="B27" s="55">
        <f>B18*12</f>
        <v/>
      </c>
      <c r="C27" s="56">
        <f>C18*12</f>
        <v/>
      </c>
      <c r="D27" s="57">
        <f>D18*12</f>
        <v/>
      </c>
      <c r="E27" s="47" t="n"/>
    </row>
    <row r="28">
      <c r="B28" s="74" t="n"/>
      <c r="C28" s="75" t="n"/>
      <c r="D28" s="76" t="n"/>
    </row>
    <row r="29">
      <c r="B29" s="74" t="n"/>
      <c r="C29" s="75" t="n"/>
      <c r="D29" s="76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Analyse de sensibilité — leviers clés</t>
        </is>
      </c>
    </row>
    <row r="2">
      <c r="A2" s="2" t="inlineStr">
        <is>
          <t>Variation ±20% sur les leviers principaux, impact EBITDA mensuel scénario Next (200 courtiers).</t>
        </is>
      </c>
    </row>
    <row r="4" ht="30" customHeight="1">
      <c r="A4" s="12" t="inlineStr">
        <is>
          <t>Levier</t>
        </is>
      </c>
      <c r="B4" s="12" t="inlineStr">
        <is>
          <t>-20%</t>
        </is>
      </c>
      <c r="C4" s="12" t="inlineStr">
        <is>
          <t>-10%</t>
        </is>
      </c>
      <c r="D4" s="12" t="inlineStr">
        <is>
          <t>Baseline</t>
        </is>
      </c>
      <c r="E4" s="12" t="inlineStr">
        <is>
          <t>+10%</t>
        </is>
      </c>
      <c r="F4" s="12" t="inlineStr">
        <is>
          <t>+20%</t>
        </is>
      </c>
    </row>
    <row r="5" ht="24" customHeight="1">
      <c r="A5" s="17" t="inlineStr">
        <is>
          <t>ARPU (prix Klaris)</t>
        </is>
      </c>
      <c r="B5" s="20">
        <f>-(0.2*Scénarios!C7)</f>
        <v/>
      </c>
      <c r="C5" s="20">
        <f>-(0.1*Scénarios!C7)</f>
        <v/>
      </c>
      <c r="D5" s="20" t="n">
        <v>0</v>
      </c>
      <c r="E5" s="20">
        <f>0.1*Scénarios!C7</f>
        <v/>
      </c>
      <c r="F5" s="20">
        <f>0.2*Scénarios!C7</f>
        <v/>
      </c>
    </row>
    <row r="6" ht="24" customHeight="1">
      <c r="A6" s="17" t="inlineStr">
        <is>
          <t>Coût Anthropic tokens</t>
        </is>
      </c>
      <c r="B6" s="20">
        <f>0.2*Scénarios!C5*'COGS variable'!C5</f>
        <v/>
      </c>
      <c r="C6" s="20">
        <f>0.1*Scénarios!C5*'COGS variable'!C5</f>
        <v/>
      </c>
      <c r="D6" s="20" t="n">
        <v>0</v>
      </c>
      <c r="E6" s="20">
        <f>-0.1*Scénarios!C5*'COGS variable'!C5</f>
        <v/>
      </c>
      <c r="F6" s="20">
        <f>-0.2*Scénarios!C5*'COGS variable'!C5</f>
        <v/>
      </c>
    </row>
    <row r="7" ht="24" customHeight="1">
      <c r="A7" s="17" t="inlineStr">
        <is>
          <t>Volume SMS Twilio</t>
        </is>
      </c>
      <c r="B7" s="20">
        <f>0.2*Scénarios!C5*'COGS variable'!C10</f>
        <v/>
      </c>
      <c r="C7" s="20">
        <f>0.1*Scénarios!C5*'COGS variable'!C10</f>
        <v/>
      </c>
      <c r="D7" s="20" t="n">
        <v>0</v>
      </c>
      <c r="E7" s="20">
        <f>-0.1*Scénarios!C5*'COGS variable'!C10</f>
        <v/>
      </c>
      <c r="F7" s="20">
        <f>-0.2*Scénarios!C5*'COGS variable'!C10</f>
        <v/>
      </c>
    </row>
    <row r="8" ht="24" customHeight="1">
      <c r="A8" s="17" t="inlineStr">
        <is>
          <t>Masse salariale</t>
        </is>
      </c>
      <c r="B8" s="20">
        <f>0.2*Scénarios!C17</f>
        <v/>
      </c>
      <c r="C8" s="20">
        <f>0.1*Scénarios!C17</f>
        <v/>
      </c>
      <c r="D8" s="20" t="n">
        <v>0</v>
      </c>
      <c r="E8" s="20">
        <f>-0.1*Scénarios!C17</f>
        <v/>
      </c>
      <c r="F8" s="20">
        <f>-0.2*Scénarios!C17</f>
        <v/>
      </c>
    </row>
    <row r="9" ht="24" customHeight="1">
      <c r="A9" s="17" t="inlineStr">
        <is>
          <t>Acquisition courtiers (vol)</t>
        </is>
      </c>
      <c r="B9" s="20">
        <f>-0.2*Scénarios!C7</f>
        <v/>
      </c>
      <c r="C9" s="20">
        <f>-0.1*Scénarios!C7</f>
        <v/>
      </c>
      <c r="D9" s="20" t="n">
        <v>0</v>
      </c>
      <c r="E9" s="20">
        <f>0.1*Scénarios!C7</f>
        <v/>
      </c>
      <c r="F9" s="20">
        <f>0.2*Scénarios!C7</f>
        <v/>
      </c>
    </row>
    <row r="10" ht="24" customHeight="1">
      <c r="A10" s="17" t="inlineStr">
        <is>
          <t>OpEx fixe (outils, marketing)</t>
        </is>
      </c>
      <c r="B10" s="20">
        <f>0.2*Scénarios!C16</f>
        <v/>
      </c>
      <c r="C10" s="20">
        <f>0.1*Scénarios!C16</f>
        <v/>
      </c>
      <c r="D10" s="20" t="n">
        <v>0</v>
      </c>
      <c r="E10" s="20">
        <f>-0.1*Scénarios!C16</f>
        <v/>
      </c>
      <c r="F10" s="20">
        <f>-0.2*Scénarios!C16</f>
        <v/>
      </c>
    </row>
    <row r="12">
      <c r="A12" s="77" t="inlineStr">
        <is>
          <t>Lecture</t>
        </is>
      </c>
    </row>
    <row r="13" ht="40" customHeight="1">
      <c r="A13" s="78" t="inlineStr">
        <is>
          <t>Chiffres = impact additif sur l'EBITDA mensuel Next (baseline scénario Next colonne C de la feuille Scénarios).</t>
        </is>
      </c>
    </row>
    <row r="14" ht="40" customHeight="1">
      <c r="A14" s="79" t="inlineStr">
        <is>
          <t>Conclusion : ARPU et volume d'acquisition dominent — un courtier additionnel rapporte ~110 $/mois marge directe.</t>
        </is>
      </c>
    </row>
  </sheetData>
  <mergeCells count="5">
    <mergeCell ref="A2:F2"/>
    <mergeCell ref="A13:F13"/>
    <mergeCell ref="A14:F14"/>
    <mergeCell ref="A1:F1"/>
    <mergeCell ref="A12:F12"/>
  </mergeCells>
  <conditionalFormatting sqref="B5:F10">
    <cfRule type="colorScale" priority="1">
      <colorScale>
        <cfvo type="min"/>
        <cfvo type="num" val="0"/>
        <cfvo type="max"/>
        <color rgb="00D64C2E"/>
        <color rgb="00FAF9F5"/>
        <color rgb="0050A04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Unit Economics — LTV / CAC / Payback</t>
        </is>
      </c>
    </row>
    <row r="2">
      <c r="A2" s="2" t="inlineStr">
        <is>
          <t>Métriques par courtier acquis. Cible : LTV/CAC &gt; 3, payback &lt; 12 mois (benchmark SaaS B2B SMB).</t>
        </is>
      </c>
    </row>
    <row r="4" ht="30" customHeight="1">
      <c r="A4" s="12" t="inlineStr">
        <is>
          <t>Métrique</t>
        </is>
      </c>
      <c r="B4" s="12" t="inlineStr">
        <is>
          <t>Now (10c)</t>
        </is>
      </c>
      <c r="C4" s="12" t="inlineStr">
        <is>
          <t>Next (200c)</t>
        </is>
      </c>
      <c r="D4" s="12" t="inlineStr">
        <is>
          <t>Later (1000c)</t>
        </is>
      </c>
      <c r="E4" s="12" t="inlineStr">
        <is>
          <t>Formule / hypothèse</t>
        </is>
      </c>
    </row>
    <row r="5" ht="22" customHeight="1">
      <c r="A5" s="17" t="inlineStr">
        <is>
          <t>ARPU mensuel ($CAD)</t>
        </is>
      </c>
      <c r="B5" s="44" t="n">
        <v>100</v>
      </c>
      <c r="C5" s="44" t="n">
        <v>125</v>
      </c>
      <c r="D5" s="44" t="n">
        <v>150</v>
      </c>
      <c r="E5" s="21" t="inlineStr">
        <is>
          <t>Mix Solo / Agence / EN-CA</t>
        </is>
      </c>
    </row>
    <row r="6" ht="22" customHeight="1">
      <c r="A6" s="17" t="inlineStr">
        <is>
          <t>Marge brute / courtier / mois</t>
        </is>
      </c>
      <c r="B6" s="44">
        <f>Scénarios!B6-'COGS variable'!B20</f>
        <v/>
      </c>
      <c r="C6" s="44">
        <f>Scénarios!C6-'COGS variable'!C20</f>
        <v/>
      </c>
      <c r="D6" s="44">
        <f>Scénarios!D6-'COGS variable'!D20</f>
        <v/>
      </c>
      <c r="E6" s="21">
        <f>'COGS variable'!B23 — lien dynamique</f>
        <v/>
      </c>
    </row>
    <row r="7" ht="22" customHeight="1">
      <c r="A7" s="17" t="inlineStr">
        <is>
          <t>Marge brute %</t>
        </is>
      </c>
      <c r="B7" s="80">
        <f>B6/B5</f>
        <v/>
      </c>
      <c r="C7" s="80">
        <f>C6/C5</f>
        <v/>
      </c>
      <c r="D7" s="80">
        <f>D6/D5</f>
        <v/>
      </c>
      <c r="E7" s="21">
        <f>'COGS variable'!B24</f>
        <v/>
      </c>
    </row>
    <row r="8" ht="22" customHeight="1">
      <c r="A8" s="17" t="inlineStr">
        <is>
          <t>Churn mensuel (% courtiers/mois)</t>
        </is>
      </c>
      <c r="B8" s="80" t="n">
        <v>0.05</v>
      </c>
      <c r="C8" s="80" t="n">
        <v>0.03</v>
      </c>
      <c r="D8" s="80" t="n">
        <v>0.02</v>
      </c>
      <c r="E8" s="21" t="inlineStr">
        <is>
          <t>5% Now (early pilots) → 2% Later (sticky agences)</t>
        </is>
      </c>
    </row>
    <row r="9" ht="22" customHeight="1">
      <c r="A9" s="17" t="inlineStr">
        <is>
          <t>Lifetime moyen (mois)</t>
        </is>
      </c>
      <c r="B9" s="81">
        <f>1/B8</f>
        <v/>
      </c>
      <c r="C9" s="81">
        <f>1/C8</f>
        <v/>
      </c>
      <c r="D9" s="81">
        <f>1/D8</f>
        <v/>
      </c>
      <c r="E9" s="21">
        <f> 1 / churn mensuel</f>
        <v/>
      </c>
    </row>
    <row r="10" ht="22" customHeight="1">
      <c r="A10" s="17" t="inlineStr">
        <is>
          <t>LTV brute ($CAD)</t>
        </is>
      </c>
      <c r="B10" s="20">
        <f>B5*B9</f>
        <v/>
      </c>
      <c r="C10" s="20">
        <f>C5*C9</f>
        <v/>
      </c>
      <c r="D10" s="20">
        <f>D5*D9</f>
        <v/>
      </c>
      <c r="E10" s="21">
        <f> ARPU × Lifetime</f>
        <v/>
      </c>
    </row>
    <row r="11" ht="22" customHeight="1">
      <c r="A11" s="82" t="inlineStr">
        <is>
          <t>LTV marge brute ($CAD)</t>
        </is>
      </c>
      <c r="B11" s="43">
        <f>B6*B9</f>
        <v/>
      </c>
      <c r="C11" s="43">
        <f>C6*C9</f>
        <v/>
      </c>
      <c r="D11" s="43">
        <f>D6*D9</f>
        <v/>
      </c>
      <c r="E11" s="21">
        <f> Marge brute mensuelle × Lifetime</f>
        <v/>
      </c>
    </row>
    <row r="12" ht="22" customHeight="1">
      <c r="A12" s="18" t="inlineStr"/>
      <c r="B12" s="47" t="inlineStr"/>
      <c r="C12" s="47" t="inlineStr"/>
      <c r="D12" s="47" t="inlineStr"/>
      <c r="E12" s="21" t="inlineStr"/>
    </row>
    <row r="13" ht="22" customHeight="1">
      <c r="A13" s="17" t="inlineStr">
        <is>
          <t>Coût marketing mensuel ($CAD)</t>
        </is>
      </c>
      <c r="B13" s="20" t="n">
        <v>800</v>
      </c>
      <c r="C13" s="20" t="n">
        <v>5000</v>
      </c>
      <c r="D13" s="20" t="n">
        <v>14500</v>
      </c>
      <c r="E13" s="21" t="inlineStr">
        <is>
          <t>Google + Meta + salons + freelance + Customer.io</t>
        </is>
      </c>
    </row>
    <row r="14" ht="22" customHeight="1">
      <c r="A14" s="17" t="inlineStr">
        <is>
          <t>Coût sales mensuel ($CAD)</t>
        </is>
      </c>
      <c r="B14" s="20" t="n">
        <v>2000</v>
      </c>
      <c r="C14" s="20" t="n">
        <v>6000</v>
      </c>
      <c r="D14" s="20" t="n">
        <v>12500</v>
      </c>
      <c r="E14" s="21" t="inlineStr">
        <is>
          <t>Cofondateurs Now ; +rep Next ; +rep ON Later</t>
        </is>
      </c>
    </row>
    <row r="15" ht="22" customHeight="1">
      <c r="A15" s="17" t="inlineStr">
        <is>
          <t>CAC mensuel total ($CAD)</t>
        </is>
      </c>
      <c r="B15" s="20">
        <f>B13+B14</f>
        <v/>
      </c>
      <c r="C15" s="20">
        <f>C13+C14</f>
        <v/>
      </c>
      <c r="D15" s="20">
        <f>D13+D14</f>
        <v/>
      </c>
      <c r="E15" s="21">
        <f> Mkt + Sales</f>
        <v/>
      </c>
    </row>
    <row r="16" ht="22" customHeight="1">
      <c r="A16" s="17" t="inlineStr">
        <is>
          <t>Nouveaux courtiers acquis / mois</t>
        </is>
      </c>
      <c r="B16" s="83" t="n">
        <v>3</v>
      </c>
      <c r="C16" s="83" t="n">
        <v>15</v>
      </c>
      <c r="D16" s="83" t="n">
        <v>40</v>
      </c>
      <c r="E16" s="21" t="inlineStr">
        <is>
          <t>Taux d'acquisition net (gross − churn)</t>
        </is>
      </c>
    </row>
    <row r="17" ht="22" customHeight="1">
      <c r="A17" s="82" t="inlineStr">
        <is>
          <t>CAC par courtier ($CAD)</t>
        </is>
      </c>
      <c r="B17" s="43">
        <f>B15/B16</f>
        <v/>
      </c>
      <c r="C17" s="43">
        <f>C15/C16</f>
        <v/>
      </c>
      <c r="D17" s="43">
        <f>D15/D16</f>
        <v/>
      </c>
      <c r="E17" s="21">
        <f> CAC mensuel / acquisitions</f>
        <v/>
      </c>
    </row>
    <row r="18" ht="22" customHeight="1">
      <c r="A18" s="18" t="inlineStr"/>
      <c r="B18" s="47" t="inlineStr"/>
      <c r="C18" s="47" t="inlineStr"/>
      <c r="D18" s="47" t="inlineStr"/>
      <c r="E18" s="21" t="inlineStr"/>
    </row>
    <row r="19" ht="22" customHeight="1">
      <c r="A19" s="82" t="inlineStr">
        <is>
          <t>LTV / CAC</t>
        </is>
      </c>
      <c r="B19" s="84">
        <f>B11/B17</f>
        <v/>
      </c>
      <c r="C19" s="84">
        <f>C11/C17</f>
        <v/>
      </c>
      <c r="D19" s="84">
        <f>D11/D17</f>
        <v/>
      </c>
      <c r="E19" s="21" t="inlineStr">
        <is>
          <t>Cible &gt; 3</t>
        </is>
      </c>
    </row>
    <row r="20" ht="22" customHeight="1">
      <c r="A20" s="82" t="inlineStr">
        <is>
          <t>Payback CAC (mois)</t>
        </is>
      </c>
      <c r="B20" s="84">
        <f>B17/B6</f>
        <v/>
      </c>
      <c r="C20" s="84">
        <f>C17/C6</f>
        <v/>
      </c>
      <c r="D20" s="84">
        <f>D17/D6</f>
        <v/>
      </c>
      <c r="E20" s="21">
        <f> CAC / Marge brute mensuelle</f>
        <v/>
      </c>
    </row>
    <row r="21" ht="22" customHeight="1">
      <c r="A21" s="17" t="inlineStr">
        <is>
          <t>Magic Number (efficience)</t>
        </is>
      </c>
      <c r="B21" s="85">
        <f>(B16*12*B5)/(B15*3)</f>
        <v/>
      </c>
      <c r="C21" s="85">
        <f>(C16*12*C5)/(C15*3)</f>
        <v/>
      </c>
      <c r="D21" s="85">
        <f>(D16*12*D5)/(D15*3)</f>
        <v/>
      </c>
      <c r="E21" s="21">
        <f> (ΔMRR × 4) / S&amp;M dépense trimestrielle. Cible &gt; 0,75</f>
        <v/>
      </c>
    </row>
    <row r="24">
      <c r="A24" s="3" t="inlineStr">
        <is>
          <t>Benchmarks SaaS B2B SMB (référence)</t>
        </is>
      </c>
    </row>
    <row r="25" ht="22" customHeight="1">
      <c r="A25" s="17" t="inlineStr">
        <is>
          <t>LTV / CAC sain</t>
        </is>
      </c>
      <c r="B25" s="18" t="inlineStr">
        <is>
          <t>&gt; 3 (visé). &gt; 5 = scaling robuste.</t>
        </is>
      </c>
      <c r="C25" s="47" t="n"/>
      <c r="D25" s="47" t="n"/>
      <c r="E25" s="47" t="n"/>
    </row>
    <row r="26" ht="22" customHeight="1">
      <c r="A26" s="17" t="inlineStr">
        <is>
          <t>Payback CAC</t>
        </is>
      </c>
      <c r="B26" s="18" t="inlineStr">
        <is>
          <t>&lt; 12 mois early, &lt; 18 mois growth.</t>
        </is>
      </c>
      <c r="C26" s="47" t="n"/>
      <c r="D26" s="47" t="n"/>
      <c r="E26" s="47" t="n"/>
    </row>
    <row r="27" ht="22" customHeight="1">
      <c r="A27" s="17" t="inlineStr">
        <is>
          <t>Churn mensuel toléré</t>
        </is>
      </c>
      <c r="B27" s="18" t="inlineStr">
        <is>
          <t>&lt; 3% PME, &lt; 1% entreprise.</t>
        </is>
      </c>
      <c r="C27" s="47" t="n"/>
      <c r="D27" s="47" t="n"/>
      <c r="E27" s="47" t="n"/>
    </row>
    <row r="28" ht="22" customHeight="1">
      <c r="A28" s="17" t="inlineStr">
        <is>
          <t>Magic Number</t>
        </is>
      </c>
      <c r="B28" s="18" t="inlineStr">
        <is>
          <t>&gt; 0,75 (efficient). &gt; 1 = double S&amp;M maintenant.</t>
        </is>
      </c>
      <c r="C28" s="47" t="n"/>
      <c r="D28" s="47" t="n"/>
      <c r="E28" s="47" t="n"/>
    </row>
  </sheetData>
  <mergeCells count="6">
    <mergeCell ref="B26:E26"/>
    <mergeCell ref="B27:E27"/>
    <mergeCell ref="A2:E2"/>
    <mergeCell ref="A1:E1"/>
    <mergeCell ref="B25:E25"/>
    <mergeCell ref="B28:E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2" customWidth="1" min="8" max="8"/>
  </cols>
  <sheetData>
    <row r="1">
      <c r="A1" s="1" t="inlineStr">
        <is>
          <t>Calendrier de financement — 18 mois</t>
        </is>
      </c>
    </row>
    <row r="2">
      <c r="A2" s="2" t="inlineStr">
        <is>
          <t>Encaissements (levées + revenus) vs décaissements mensuels. Cash position cumulée. Tous montants $CAD.</t>
        </is>
      </c>
    </row>
    <row r="4" ht="30" customHeight="1">
      <c r="A4" s="12" t="inlineStr">
        <is>
          <t>Mois</t>
        </is>
      </c>
      <c r="B4" s="12" t="inlineStr">
        <is>
          <t>Phase</t>
        </is>
      </c>
      <c r="C4" s="12" t="inlineStr">
        <is>
          <t>Courtiers</t>
        </is>
      </c>
      <c r="D4" s="12" t="inlineStr">
        <is>
          <t>Revenus</t>
        </is>
      </c>
      <c r="E4" s="12" t="inlineStr">
        <is>
          <t>OpEx</t>
        </is>
      </c>
      <c r="F4" s="12" t="inlineStr">
        <is>
          <t>Cash levé</t>
        </is>
      </c>
      <c r="G4" s="12" t="inlineStr">
        <is>
          <t>Burn net</t>
        </is>
      </c>
      <c r="H4" s="12" t="inlineStr">
        <is>
          <t>Note</t>
        </is>
      </c>
    </row>
    <row r="5" ht="22" customHeight="1">
      <c r="A5" s="17" t="inlineStr">
        <is>
          <t>T+0 (Juin 2026)</t>
        </is>
      </c>
      <c r="B5" s="86" t="inlineStr">
        <is>
          <t>Now</t>
        </is>
      </c>
      <c r="C5" s="19" t="n">
        <v>10</v>
      </c>
      <c r="D5" s="20" t="n">
        <v>1000</v>
      </c>
      <c r="E5" s="20" t="n">
        <v>15000</v>
      </c>
      <c r="F5" s="20" t="n">
        <v>250000</v>
      </c>
      <c r="G5" s="20" t="n">
        <v>236000</v>
      </c>
      <c r="H5" s="21" t="inlineStr">
        <is>
          <t>Pré-amorçage closed · TestFlight launch</t>
        </is>
      </c>
    </row>
    <row r="6" ht="22" customHeight="1">
      <c r="A6" s="17" t="inlineStr">
        <is>
          <t>T+1</t>
        </is>
      </c>
      <c r="B6" s="86" t="inlineStr">
        <is>
          <t>Now</t>
        </is>
      </c>
      <c r="C6" s="19" t="n">
        <v>15</v>
      </c>
      <c r="D6" s="20" t="n">
        <v>1500</v>
      </c>
      <c r="E6" s="20" t="n">
        <v>16000</v>
      </c>
      <c r="F6" s="19" t="n"/>
      <c r="G6" s="87" t="n">
        <v>-14500</v>
      </c>
      <c r="H6" s="21" t="inlineStr">
        <is>
          <t>Captation OACIQ revue</t>
        </is>
      </c>
    </row>
    <row r="7" ht="22" customHeight="1">
      <c r="A7" s="17" t="inlineStr">
        <is>
          <t>T+2</t>
        </is>
      </c>
      <c r="B7" s="86" t="inlineStr">
        <is>
          <t>Now</t>
        </is>
      </c>
      <c r="C7" s="19" t="n">
        <v>25</v>
      </c>
      <c r="D7" s="20" t="n">
        <v>2500</v>
      </c>
      <c r="E7" s="20" t="n">
        <v>18000</v>
      </c>
      <c r="F7" s="19" t="n"/>
      <c r="G7" s="87" t="n">
        <v>-15500</v>
      </c>
      <c r="H7" s="21" t="inlineStr">
        <is>
          <t>App Store live · acquisition courtier</t>
        </is>
      </c>
    </row>
    <row r="8" ht="22" customHeight="1">
      <c r="A8" s="17" t="inlineStr">
        <is>
          <t>T+3 (Sept)</t>
        </is>
      </c>
      <c r="B8" s="86" t="inlineStr">
        <is>
          <t>Now→Next</t>
        </is>
      </c>
      <c r="C8" s="19" t="n">
        <v>40</v>
      </c>
      <c r="D8" s="20" t="n">
        <v>4000</v>
      </c>
      <c r="E8" s="20" t="n">
        <v>22000</v>
      </c>
      <c r="F8" s="19" t="n"/>
      <c r="G8" s="87" t="n">
        <v>-18000</v>
      </c>
      <c r="H8" s="21" t="inlineStr">
        <is>
          <t>Premier deal agence pilote</t>
        </is>
      </c>
    </row>
    <row r="9" ht="22" customHeight="1">
      <c r="A9" s="17" t="inlineStr">
        <is>
          <t>T+4</t>
        </is>
      </c>
      <c r="B9" s="88" t="inlineStr">
        <is>
          <t>Next</t>
        </is>
      </c>
      <c r="C9" s="19" t="n">
        <v>60</v>
      </c>
      <c r="D9" s="20" t="n">
        <v>6300</v>
      </c>
      <c r="E9" s="20" t="n">
        <v>30000</v>
      </c>
      <c r="F9" s="19" t="n"/>
      <c r="G9" s="87" t="n">
        <v>-23700</v>
      </c>
      <c r="H9" s="21" t="inlineStr">
        <is>
          <t>Centris API négo + Notarius signé</t>
        </is>
      </c>
    </row>
    <row r="10" ht="22" customHeight="1">
      <c r="A10" s="17" t="inlineStr">
        <is>
          <t>T+5</t>
        </is>
      </c>
      <c r="B10" s="88" t="inlineStr">
        <is>
          <t>Next</t>
        </is>
      </c>
      <c r="C10" s="19" t="n">
        <v>90</v>
      </c>
      <c r="D10" s="20" t="n">
        <v>9450</v>
      </c>
      <c r="E10" s="20" t="n">
        <v>40000</v>
      </c>
      <c r="F10" s="19" t="n"/>
      <c r="G10" s="87" t="n">
        <v>-30550</v>
      </c>
      <c r="H10" s="21" t="inlineStr">
        <is>
          <t>Pré-Seed roadshow</t>
        </is>
      </c>
    </row>
    <row r="11" ht="22" customHeight="1">
      <c r="A11" s="17" t="inlineStr">
        <is>
          <t>T+6 (Déc 2026)</t>
        </is>
      </c>
      <c r="B11" s="88" t="inlineStr">
        <is>
          <t>Next</t>
        </is>
      </c>
      <c r="C11" s="19" t="n">
        <v>130</v>
      </c>
      <c r="D11" s="20" t="n">
        <v>13650</v>
      </c>
      <c r="E11" s="20" t="n">
        <v>55000</v>
      </c>
      <c r="F11" s="20" t="n">
        <v>1500000</v>
      </c>
      <c r="G11" s="20" t="n">
        <v>1458650</v>
      </c>
      <c r="H11" s="21" t="inlineStr">
        <is>
          <t>Seed 1,5 M$ closed</t>
        </is>
      </c>
    </row>
    <row r="12" ht="22" customHeight="1">
      <c r="A12" s="17" t="inlineStr">
        <is>
          <t>T+7</t>
        </is>
      </c>
      <c r="B12" s="88" t="inlineStr">
        <is>
          <t>Next</t>
        </is>
      </c>
      <c r="C12" s="19" t="n">
        <v>165</v>
      </c>
      <c r="D12" s="20" t="n">
        <v>17325</v>
      </c>
      <c r="E12" s="20" t="n">
        <v>65000</v>
      </c>
      <c r="F12" s="19" t="n"/>
      <c r="G12" s="87" t="n">
        <v>-47675</v>
      </c>
      <c r="H12" s="21" t="inlineStr">
        <is>
          <t>Recrutements dev + sales</t>
        </is>
      </c>
    </row>
    <row r="13" ht="22" customHeight="1">
      <c r="A13" s="17" t="inlineStr">
        <is>
          <t>T+8 (Févr 2027)</t>
        </is>
      </c>
      <c r="B13" s="88" t="inlineStr">
        <is>
          <t>Next</t>
        </is>
      </c>
      <c r="C13" s="19" t="n">
        <v>200</v>
      </c>
      <c r="D13" s="20" t="n">
        <v>23000</v>
      </c>
      <c r="E13" s="20" t="n">
        <v>75000</v>
      </c>
      <c r="F13" s="19" t="n"/>
      <c r="G13" s="87" t="n">
        <v>-52000</v>
      </c>
      <c r="H13" s="21" t="inlineStr">
        <is>
          <t>Cible Next atteinte · 200 courtiers</t>
        </is>
      </c>
    </row>
    <row r="14" ht="22" customHeight="1">
      <c r="A14" s="17" t="inlineStr">
        <is>
          <t>T+9</t>
        </is>
      </c>
      <c r="B14" s="88" t="inlineStr">
        <is>
          <t>Next→Later</t>
        </is>
      </c>
      <c r="C14" s="19" t="n">
        <v>250</v>
      </c>
      <c r="D14" s="20" t="n">
        <v>28750</v>
      </c>
      <c r="E14" s="20" t="n">
        <v>85000</v>
      </c>
      <c r="F14" s="19" t="n"/>
      <c r="G14" s="87" t="n">
        <v>-56250</v>
      </c>
      <c r="H14" s="21" t="inlineStr">
        <is>
          <t>Toronto launch préparé</t>
        </is>
      </c>
    </row>
    <row r="15" ht="22" customHeight="1">
      <c r="A15" s="17" t="inlineStr">
        <is>
          <t>T+10 (Avr 2027)</t>
        </is>
      </c>
      <c r="B15" s="89" t="inlineStr">
        <is>
          <t>Later</t>
        </is>
      </c>
      <c r="C15" s="19" t="n">
        <v>320</v>
      </c>
      <c r="D15" s="20" t="n">
        <v>36800</v>
      </c>
      <c r="E15" s="20" t="n">
        <v>100000</v>
      </c>
      <c r="F15" s="19" t="n"/>
      <c r="G15" s="87" t="n">
        <v>-63200</v>
      </c>
      <c r="H15" s="21" t="inlineStr">
        <is>
          <t>Toronto + Ottawa go-live</t>
        </is>
      </c>
    </row>
    <row r="16" ht="22" customHeight="1">
      <c r="A16" s="17" t="inlineStr">
        <is>
          <t>T+11</t>
        </is>
      </c>
      <c r="B16" s="89" t="inlineStr">
        <is>
          <t>Later</t>
        </is>
      </c>
      <c r="C16" s="19" t="n">
        <v>400</v>
      </c>
      <c r="D16" s="20" t="n">
        <v>46000</v>
      </c>
      <c r="E16" s="20" t="n">
        <v>110000</v>
      </c>
      <c r="F16" s="19" t="n"/>
      <c r="G16" s="87" t="n">
        <v>-64000</v>
      </c>
      <c r="H16" s="21" t="inlineStr">
        <is>
          <t>Mid-market 1ʳᵉ vente 50+ courtiers</t>
        </is>
      </c>
    </row>
    <row r="17" ht="22" customHeight="1">
      <c r="A17" s="17" t="inlineStr">
        <is>
          <t>T+12</t>
        </is>
      </c>
      <c r="B17" s="89" t="inlineStr">
        <is>
          <t>Later</t>
        </is>
      </c>
      <c r="C17" s="19" t="n">
        <v>500</v>
      </c>
      <c r="D17" s="20" t="n">
        <v>65000</v>
      </c>
      <c r="E17" s="20" t="n">
        <v>115000</v>
      </c>
      <c r="F17" s="19" t="n"/>
      <c r="G17" s="87" t="n">
        <v>-50000</v>
      </c>
      <c r="H17" s="21" t="inlineStr">
        <is>
          <t>Cible Later début · 500 courtiers · MRR 60k</t>
        </is>
      </c>
    </row>
    <row r="18" ht="22" customHeight="1">
      <c r="A18" s="17" t="inlineStr">
        <is>
          <t>T+13 (Juil 2027)</t>
        </is>
      </c>
      <c r="B18" s="89" t="inlineStr">
        <is>
          <t>Later</t>
        </is>
      </c>
      <c r="C18" s="19" t="n">
        <v>600</v>
      </c>
      <c r="D18" s="20" t="n">
        <v>78000</v>
      </c>
      <c r="E18" s="20" t="n">
        <v>125000</v>
      </c>
      <c r="F18" s="19" t="n"/>
      <c r="G18" s="87" t="n">
        <v>-47000</v>
      </c>
      <c r="H18" s="21" t="inlineStr">
        <is>
          <t>Sprint 8 GA — rédac offres OACIQ</t>
        </is>
      </c>
    </row>
    <row r="19" ht="22" customHeight="1">
      <c r="A19" s="17" t="inlineStr">
        <is>
          <t>T+14</t>
        </is>
      </c>
      <c r="B19" s="89" t="inlineStr">
        <is>
          <t>Later</t>
        </is>
      </c>
      <c r="C19" s="19" t="n">
        <v>700</v>
      </c>
      <c r="D19" s="20" t="n">
        <v>91000</v>
      </c>
      <c r="E19" s="20" t="n">
        <v>130000</v>
      </c>
      <c r="F19" s="19" t="n"/>
      <c r="G19" s="87" t="n">
        <v>-39000</v>
      </c>
      <c r="H19" s="21" t="inlineStr">
        <is>
          <t>Notarius + DocuSign GA</t>
        </is>
      </c>
    </row>
    <row r="20" ht="22" customHeight="1">
      <c r="A20" s="17" t="inlineStr">
        <is>
          <t>T+15</t>
        </is>
      </c>
      <c r="B20" s="89" t="inlineStr">
        <is>
          <t>Later</t>
        </is>
      </c>
      <c r="C20" s="19" t="n">
        <v>800</v>
      </c>
      <c r="D20" s="20" t="n">
        <v>116000</v>
      </c>
      <c r="E20" s="20" t="n">
        <v>135000</v>
      </c>
      <c r="F20" s="19" t="n"/>
      <c r="G20" s="87" t="n">
        <v>-19000</v>
      </c>
      <c r="H20" s="21" t="inlineStr">
        <is>
          <t>Marge &gt; 75% · platform API beta</t>
        </is>
      </c>
    </row>
    <row r="21" ht="22" customHeight="1">
      <c r="A21" s="17" t="inlineStr">
        <is>
          <t>T+16 (Oct 2027)</t>
        </is>
      </c>
      <c r="B21" s="89" t="inlineStr">
        <is>
          <t>Later</t>
        </is>
      </c>
      <c r="C21" s="19" t="n">
        <v>900</v>
      </c>
      <c r="D21" s="20" t="n">
        <v>130500</v>
      </c>
      <c r="E21" s="20" t="n">
        <v>140000</v>
      </c>
      <c r="F21" s="19" t="n"/>
      <c r="G21" s="87" t="n">
        <v>-9500</v>
      </c>
      <c r="H21" s="21" t="inlineStr">
        <is>
          <t>Conversations Series A (term sheet)</t>
        </is>
      </c>
    </row>
    <row r="22" ht="22" customHeight="1">
      <c r="A22" s="17" t="inlineStr">
        <is>
          <t>T+17 (Nov 2027)</t>
        </is>
      </c>
      <c r="B22" s="89" t="inlineStr">
        <is>
          <t>Later</t>
        </is>
      </c>
      <c r="C22" s="19" t="n">
        <v>1000</v>
      </c>
      <c r="D22" s="20" t="n">
        <v>145000</v>
      </c>
      <c r="E22" s="20" t="n">
        <v>140000</v>
      </c>
      <c r="F22" s="19" t="n"/>
      <c r="G22" s="90" t="n">
        <v>5000</v>
      </c>
      <c r="H22" s="21" t="inlineStr">
        <is>
          <t>Cible Later atteinte · ARR 1,5M$</t>
        </is>
      </c>
    </row>
    <row r="24" ht="24" customHeight="1">
      <c r="A24" s="42" t="inlineStr">
        <is>
          <t>Cash position cumulée (fin de période)</t>
        </is>
      </c>
      <c r="B24" s="41" t="n"/>
      <c r="C24" s="41" t="n"/>
      <c r="D24" s="41" t="n"/>
      <c r="E24" s="41" t="n"/>
      <c r="F24" s="41" t="n"/>
      <c r="G24" s="41" t="n"/>
      <c r="H24" s="41" t="n"/>
    </row>
    <row r="25">
      <c r="A25" s="17" t="inlineStr">
        <is>
          <t>Cash début T+0</t>
        </is>
      </c>
      <c r="B25" s="47" t="n"/>
      <c r="C25" s="47" t="n"/>
      <c r="D25" s="47" t="n"/>
      <c r="E25" s="47" t="n"/>
      <c r="F25" s="47" t="n"/>
      <c r="G25" s="20" t="n">
        <v>0</v>
      </c>
      <c r="H25" s="47" t="n"/>
    </row>
    <row r="26" ht="20" customHeight="1">
      <c r="A26" s="18" t="inlineStr">
        <is>
          <t>T+0 (Juin 2026)</t>
        </is>
      </c>
      <c r="B26" s="47" t="n"/>
      <c r="C26" s="47" t="n"/>
      <c r="D26" s="47" t="n"/>
      <c r="E26" s="47" t="n"/>
      <c r="F26" s="47" t="n"/>
      <c r="G26" s="20">
        <f>G25+G5</f>
        <v/>
      </c>
      <c r="H26" s="47" t="n"/>
    </row>
    <row r="27" ht="20" customHeight="1">
      <c r="A27" s="18" t="inlineStr">
        <is>
          <t>T+1</t>
        </is>
      </c>
      <c r="B27" s="47" t="n"/>
      <c r="C27" s="47" t="n"/>
      <c r="D27" s="47" t="n"/>
      <c r="E27" s="47" t="n"/>
      <c r="F27" s="47" t="n"/>
      <c r="G27" s="20">
        <f>G26+G6</f>
        <v/>
      </c>
      <c r="H27" s="47" t="n"/>
    </row>
    <row r="28" ht="20" customHeight="1">
      <c r="A28" s="18" t="inlineStr">
        <is>
          <t>T+2</t>
        </is>
      </c>
      <c r="B28" s="47" t="n"/>
      <c r="C28" s="47" t="n"/>
      <c r="D28" s="47" t="n"/>
      <c r="E28" s="47" t="n"/>
      <c r="F28" s="47" t="n"/>
      <c r="G28" s="20">
        <f>G27+G7</f>
        <v/>
      </c>
      <c r="H28" s="47" t="n"/>
    </row>
    <row r="29" ht="20" customHeight="1">
      <c r="A29" s="18" t="inlineStr">
        <is>
          <t>T+3 (Sept)</t>
        </is>
      </c>
      <c r="B29" s="47" t="n"/>
      <c r="C29" s="47" t="n"/>
      <c r="D29" s="47" t="n"/>
      <c r="E29" s="47" t="n"/>
      <c r="F29" s="47" t="n"/>
      <c r="G29" s="20">
        <f>G28+G8</f>
        <v/>
      </c>
      <c r="H29" s="47" t="n"/>
    </row>
    <row r="30" ht="20" customHeight="1">
      <c r="A30" s="18" t="inlineStr">
        <is>
          <t>T+4</t>
        </is>
      </c>
      <c r="B30" s="47" t="n"/>
      <c r="C30" s="47" t="n"/>
      <c r="D30" s="47" t="n"/>
      <c r="E30" s="47" t="n"/>
      <c r="F30" s="47" t="n"/>
      <c r="G30" s="20">
        <f>G29+G9</f>
        <v/>
      </c>
      <c r="H30" s="47" t="n"/>
    </row>
    <row r="31" ht="20" customHeight="1">
      <c r="A31" s="18" t="inlineStr">
        <is>
          <t>T+5</t>
        </is>
      </c>
      <c r="B31" s="47" t="n"/>
      <c r="C31" s="47" t="n"/>
      <c r="D31" s="47" t="n"/>
      <c r="E31" s="47" t="n"/>
      <c r="F31" s="47" t="n"/>
      <c r="G31" s="20">
        <f>G30+G10</f>
        <v/>
      </c>
      <c r="H31" s="47" t="n"/>
    </row>
    <row r="32" ht="20" customHeight="1">
      <c r="A32" s="18" t="inlineStr">
        <is>
          <t>T+6 (Déc 2026)</t>
        </is>
      </c>
      <c r="B32" s="47" t="n"/>
      <c r="C32" s="47" t="n"/>
      <c r="D32" s="47" t="n"/>
      <c r="E32" s="47" t="n"/>
      <c r="F32" s="47" t="n"/>
      <c r="G32" s="20">
        <f>G31+G11</f>
        <v/>
      </c>
      <c r="H32" s="47" t="n"/>
    </row>
    <row r="33" ht="20" customHeight="1">
      <c r="A33" s="18" t="inlineStr">
        <is>
          <t>T+7</t>
        </is>
      </c>
      <c r="B33" s="47" t="n"/>
      <c r="C33" s="47" t="n"/>
      <c r="D33" s="47" t="n"/>
      <c r="E33" s="47" t="n"/>
      <c r="F33" s="47" t="n"/>
      <c r="G33" s="20">
        <f>G32+G12</f>
        <v/>
      </c>
      <c r="H33" s="47" t="n"/>
    </row>
    <row r="34" ht="20" customHeight="1">
      <c r="A34" s="18" t="inlineStr">
        <is>
          <t>T+8 (Févr 2027)</t>
        </is>
      </c>
      <c r="B34" s="47" t="n"/>
      <c r="C34" s="47" t="n"/>
      <c r="D34" s="47" t="n"/>
      <c r="E34" s="47" t="n"/>
      <c r="F34" s="47" t="n"/>
      <c r="G34" s="20">
        <f>G33+G13</f>
        <v/>
      </c>
      <c r="H34" s="47" t="n"/>
    </row>
    <row r="35" ht="20" customHeight="1">
      <c r="A35" s="18" t="inlineStr">
        <is>
          <t>T+9</t>
        </is>
      </c>
      <c r="B35" s="47" t="n"/>
      <c r="C35" s="47" t="n"/>
      <c r="D35" s="47" t="n"/>
      <c r="E35" s="47" t="n"/>
      <c r="F35" s="47" t="n"/>
      <c r="G35" s="20">
        <f>G34+G14</f>
        <v/>
      </c>
      <c r="H35" s="47" t="n"/>
    </row>
    <row r="36" ht="20" customHeight="1">
      <c r="A36" s="18" t="inlineStr">
        <is>
          <t>T+10 (Avr 2027)</t>
        </is>
      </c>
      <c r="B36" s="47" t="n"/>
      <c r="C36" s="47" t="n"/>
      <c r="D36" s="47" t="n"/>
      <c r="E36" s="47" t="n"/>
      <c r="F36" s="47" t="n"/>
      <c r="G36" s="20">
        <f>G35+G15</f>
        <v/>
      </c>
      <c r="H36" s="47" t="n"/>
    </row>
    <row r="37" ht="20" customHeight="1">
      <c r="A37" s="18" t="inlineStr">
        <is>
          <t>T+11</t>
        </is>
      </c>
      <c r="B37" s="47" t="n"/>
      <c r="C37" s="47" t="n"/>
      <c r="D37" s="47" t="n"/>
      <c r="E37" s="47" t="n"/>
      <c r="F37" s="47" t="n"/>
      <c r="G37" s="20">
        <f>G36+G16</f>
        <v/>
      </c>
      <c r="H37" s="47" t="n"/>
    </row>
    <row r="38" ht="20" customHeight="1">
      <c r="A38" s="18" t="inlineStr">
        <is>
          <t>T+12</t>
        </is>
      </c>
      <c r="B38" s="47" t="n"/>
      <c r="C38" s="47" t="n"/>
      <c r="D38" s="47" t="n"/>
      <c r="E38" s="47" t="n"/>
      <c r="F38" s="47" t="n"/>
      <c r="G38" s="20">
        <f>G37+G17</f>
        <v/>
      </c>
      <c r="H38" s="47" t="n"/>
    </row>
    <row r="39" ht="20" customHeight="1">
      <c r="A39" s="18" t="inlineStr">
        <is>
          <t>T+13 (Juil 2027)</t>
        </is>
      </c>
      <c r="B39" s="47" t="n"/>
      <c r="C39" s="47" t="n"/>
      <c r="D39" s="47" t="n"/>
      <c r="E39" s="47" t="n"/>
      <c r="F39" s="47" t="n"/>
      <c r="G39" s="20">
        <f>G38+G18</f>
        <v/>
      </c>
      <c r="H39" s="47" t="n"/>
    </row>
    <row r="40" ht="20" customHeight="1">
      <c r="A40" s="18" t="inlineStr">
        <is>
          <t>T+14</t>
        </is>
      </c>
      <c r="B40" s="47" t="n"/>
      <c r="C40" s="47" t="n"/>
      <c r="D40" s="47" t="n"/>
      <c r="E40" s="47" t="n"/>
      <c r="F40" s="47" t="n"/>
      <c r="G40" s="20">
        <f>G39+G19</f>
        <v/>
      </c>
      <c r="H40" s="47" t="n"/>
    </row>
    <row r="41" ht="20" customHeight="1">
      <c r="A41" s="18" t="inlineStr">
        <is>
          <t>T+15</t>
        </is>
      </c>
      <c r="B41" s="47" t="n"/>
      <c r="C41" s="47" t="n"/>
      <c r="D41" s="47" t="n"/>
      <c r="E41" s="47" t="n"/>
      <c r="F41" s="47" t="n"/>
      <c r="G41" s="20">
        <f>G40+G20</f>
        <v/>
      </c>
      <c r="H41" s="47" t="n"/>
    </row>
    <row r="42" ht="20" customHeight="1">
      <c r="A42" s="18" t="inlineStr">
        <is>
          <t>T+16 (Oct 2027)</t>
        </is>
      </c>
      <c r="B42" s="47" t="n"/>
      <c r="C42" s="47" t="n"/>
      <c r="D42" s="47" t="n"/>
      <c r="E42" s="47" t="n"/>
      <c r="F42" s="47" t="n"/>
      <c r="G42" s="20">
        <f>G41+G21</f>
        <v/>
      </c>
      <c r="H42" s="47" t="n"/>
    </row>
    <row r="43" ht="20" customHeight="1">
      <c r="A43" s="18" t="inlineStr">
        <is>
          <t>T+17 (Nov 2027)</t>
        </is>
      </c>
      <c r="B43" s="47" t="n"/>
      <c r="C43" s="47" t="n"/>
      <c r="D43" s="47" t="n"/>
      <c r="E43" s="47" t="n"/>
      <c r="F43" s="47" t="n"/>
      <c r="G43" s="20">
        <f>G42+G22</f>
        <v/>
      </c>
      <c r="H43" s="47" t="n"/>
    </row>
    <row r="45">
      <c r="A45" s="42" t="inlineStr">
        <is>
          <t>Total levée 18 mois</t>
        </is>
      </c>
      <c r="B45" s="41" t="n"/>
      <c r="C45" s="41" t="n"/>
      <c r="D45" s="41" t="n"/>
      <c r="E45" s="41" t="n"/>
      <c r="F45" s="43">
        <f>SUM(F5:F22)</f>
        <v/>
      </c>
      <c r="G45" s="41" t="n"/>
      <c r="H45" s="91" t="inlineStr">
        <is>
          <t>Pré-amorçage 250 k$ + Seed 1,5 M$ = 1,75 M$</t>
        </is>
      </c>
    </row>
  </sheetData>
  <mergeCells count="3">
    <mergeCell ref="A24:H2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38" customWidth="1" min="4" max="4"/>
  </cols>
  <sheetData>
    <row r="1">
      <c r="A1" s="1" t="inlineStr">
        <is>
          <t>Coûts ponctuels de lancement (one-shot, hors mensuel)</t>
        </is>
      </c>
    </row>
    <row r="2">
      <c r="A2" s="2" t="inlineStr">
        <is>
          <t>Investissements non récurrents — incorporation, propriété intellectuelle, hardware, dépôts initiaux.</t>
        </is>
      </c>
    </row>
    <row r="4" ht="30" customHeight="1">
      <c r="A4" s="12" t="inlineStr">
        <is>
          <t>Poste</t>
        </is>
      </c>
      <c r="B4" s="12" t="inlineStr">
        <is>
          <t>Catégorie</t>
        </is>
      </c>
      <c r="C4" s="12" t="inlineStr">
        <is>
          <t>Montant $CAD</t>
        </is>
      </c>
      <c r="D4" s="12" t="inlineStr">
        <is>
          <t>Notes</t>
        </is>
      </c>
    </row>
    <row r="5" ht="22" customHeight="1">
      <c r="A5" s="18" t="inlineStr">
        <is>
          <t>Incorporation fédérale + QC</t>
        </is>
      </c>
      <c r="B5" s="16" t="inlineStr">
        <is>
          <t>Légal</t>
        </is>
      </c>
      <c r="C5" s="20" t="n">
        <v>500</v>
      </c>
      <c r="D5" s="21" t="inlineStr">
        <is>
          <t>Frais gouvernementaux Industrie Canada + RBQ</t>
        </is>
      </c>
    </row>
    <row r="6" ht="22" customHeight="1">
      <c r="A6" s="18" t="inlineStr">
        <is>
          <t>Convention d'actionnaires</t>
        </is>
      </c>
      <c r="B6" s="16" t="inlineStr">
        <is>
          <t>Légal</t>
        </is>
      </c>
      <c r="C6" s="20" t="n">
        <v>2500</v>
      </c>
      <c r="D6" s="21" t="inlineStr">
        <is>
          <t>Vesting cofondateurs, drag/tag along, ROFR</t>
        </is>
      </c>
    </row>
    <row r="7" ht="22" customHeight="1">
      <c r="A7" s="18" t="inlineStr">
        <is>
          <t>Marque déposée 'Klaris' CA + US</t>
        </is>
      </c>
      <c r="B7" s="16" t="inlineStr">
        <is>
          <t>PI</t>
        </is>
      </c>
      <c r="C7" s="20" t="n">
        <v>3500</v>
      </c>
      <c r="D7" s="21" t="inlineStr">
        <is>
          <t>OPIC Canada + USPTO USA (2 classes)</t>
        </is>
      </c>
    </row>
    <row r="8" ht="22" customHeight="1">
      <c r="A8" s="18" t="inlineStr">
        <is>
          <t>Marque 'Next Move'</t>
        </is>
      </c>
      <c r="B8" s="16" t="inlineStr">
        <is>
          <t>PI</t>
        </is>
      </c>
      <c r="C8" s="20" t="n">
        <v>1500</v>
      </c>
      <c r="D8" s="21" t="inlineStr">
        <is>
          <t>OPIC Canada classe 9 + 42</t>
        </is>
      </c>
    </row>
    <row r="9" ht="22" customHeight="1">
      <c r="A9" s="18" t="inlineStr">
        <is>
          <t>Politique conf. + DPIA Loi 25 init.</t>
        </is>
      </c>
      <c r="B9" s="16" t="inlineStr">
        <is>
          <t>Conformité</t>
        </is>
      </c>
      <c r="C9" s="20" t="n">
        <v>3000</v>
      </c>
      <c r="D9" s="21" t="inlineStr">
        <is>
          <t>Rédaction initiale par DPO externe</t>
        </is>
      </c>
    </row>
    <row r="10" ht="22" customHeight="1">
      <c r="A10" s="18" t="inlineStr">
        <is>
          <t>Adhésion OACIQ (revue conformité)</t>
        </is>
      </c>
      <c r="B10" s="16" t="inlineStr">
        <is>
          <t>Conformité</t>
        </is>
      </c>
      <c r="C10" s="20" t="n">
        <v>2500</v>
      </c>
      <c r="D10" s="21" t="inlineStr">
        <is>
          <t>Audit initial + lettre absence d'objection</t>
        </is>
      </c>
    </row>
    <row r="11" ht="22" customHeight="1">
      <c r="A11" s="18" t="inlineStr">
        <is>
          <t>Pen-test initial</t>
        </is>
      </c>
      <c r="B11" s="16" t="inlineStr">
        <is>
          <t>Sécurité</t>
        </is>
      </c>
      <c r="C11" s="20" t="n">
        <v>8000</v>
      </c>
      <c r="D11" s="21" t="inlineStr">
        <is>
          <t>Pré-Seed — boîte spécialisée Mtl</t>
        </is>
      </c>
    </row>
    <row r="12" ht="22" customHeight="1">
      <c r="A12" s="18" t="inlineStr">
        <is>
          <t>Audit sécurité Supabase config</t>
        </is>
      </c>
      <c r="B12" s="16" t="inlineStr">
        <is>
          <t>Sécurité</t>
        </is>
      </c>
      <c r="C12" s="20" t="n">
        <v>1500</v>
      </c>
      <c r="D12" s="21" t="inlineStr">
        <is>
          <t>Revue RLS + secrets management</t>
        </is>
      </c>
    </row>
    <row r="13" ht="22" customHeight="1">
      <c r="A13" s="18" t="inlineStr">
        <is>
          <t>4× MacBook Pro M4 (cofondateurs)</t>
        </is>
      </c>
      <c r="B13" s="16" t="inlineStr">
        <is>
          <t>Hardware</t>
        </is>
      </c>
      <c r="C13" s="20" t="n">
        <v>14000</v>
      </c>
      <c r="D13" s="21" t="inlineStr">
        <is>
          <t>16'' M4 Pro 24 Go / 1 To</t>
        </is>
      </c>
    </row>
    <row r="14" ht="22" customHeight="1">
      <c r="A14" s="18" t="inlineStr">
        <is>
          <t>3× écrans 4K 27''</t>
        </is>
      </c>
      <c r="B14" s="16" t="inlineStr">
        <is>
          <t>Hardware</t>
        </is>
      </c>
      <c r="C14" s="20" t="n">
        <v>1800</v>
      </c>
      <c r="D14" s="21" t="inlineStr">
        <is>
          <t>Workstation cofondateurs tech</t>
        </is>
      </c>
    </row>
    <row r="15" ht="22" customHeight="1">
      <c r="A15" s="18" t="inlineStr">
        <is>
          <t>Mobiliers + ergonomie</t>
        </is>
      </c>
      <c r="B15" s="16" t="inlineStr">
        <is>
          <t>Hardware</t>
        </is>
      </c>
      <c r="C15" s="20" t="n">
        <v>3000</v>
      </c>
      <c r="D15" s="21" t="inlineStr">
        <is>
          <t>Chaises, bureaux, casques</t>
        </is>
      </c>
    </row>
    <row r="16" ht="22" customHeight="1">
      <c r="A16" s="18" t="inlineStr">
        <is>
          <t>4× iPhone 16 Pro (tests + démos)</t>
        </is>
      </c>
      <c r="B16" s="16" t="inlineStr">
        <is>
          <t>Hardware</t>
        </is>
      </c>
      <c r="C16" s="20" t="n">
        <v>6000</v>
      </c>
      <c r="D16" s="21" t="inlineStr">
        <is>
          <t>Test app + démos courtiers</t>
        </is>
      </c>
    </row>
    <row r="17" ht="22" customHeight="1">
      <c r="A17" s="18" t="inlineStr">
        <is>
          <t>2× Apple Watch Series 10</t>
        </is>
      </c>
      <c r="B17" s="16" t="inlineStr">
        <is>
          <t>Hardware</t>
        </is>
      </c>
      <c r="C17" s="20" t="n">
        <v>1400</v>
      </c>
      <c r="D17" s="21" t="inlineStr">
        <is>
          <t>Test companion app</t>
        </is>
      </c>
    </row>
    <row r="18" ht="22" customHeight="1">
      <c r="A18" s="18" t="inlineStr">
        <is>
          <t>iPad Pro M4 (démos terrain)</t>
        </is>
      </c>
      <c r="B18" s="16" t="inlineStr">
        <is>
          <t>Hardware</t>
        </is>
      </c>
      <c r="C18" s="20" t="n">
        <v>1800</v>
      </c>
      <c r="D18" s="21" t="inlineStr">
        <is>
          <t>Présentations courtiers</t>
        </is>
      </c>
    </row>
    <row r="19" ht="22" customHeight="1">
      <c r="A19" s="18" t="inlineStr">
        <is>
          <t>Site klaris.app + landing</t>
        </is>
      </c>
      <c r="B19" s="16" t="inlineStr">
        <is>
          <t>Marketing</t>
        </is>
      </c>
      <c r="C19" s="20" t="n">
        <v>5000</v>
      </c>
      <c r="D19" s="21" t="inlineStr">
        <is>
          <t>Design + dev custom Next.js (déjà partiellement livré)</t>
        </is>
      </c>
    </row>
    <row r="20" ht="22" customHeight="1">
      <c r="A20" s="18" t="inlineStr">
        <is>
          <t>Pitch deck + identité visuelle</t>
        </is>
      </c>
      <c r="B20" s="16" t="inlineStr">
        <is>
          <t>Marketing</t>
        </is>
      </c>
      <c r="C20" s="20" t="n">
        <v>3500</v>
      </c>
      <c r="D20" s="21" t="inlineStr">
        <is>
          <t>Direction artistique terracotta + logo</t>
        </is>
      </c>
    </row>
    <row r="21" ht="22" customHeight="1">
      <c r="A21" s="18" t="inlineStr">
        <is>
          <t>Captation vidéo démo + témoignages</t>
        </is>
      </c>
      <c r="B21" s="16" t="inlineStr">
        <is>
          <t>Marketing</t>
        </is>
      </c>
      <c r="C21" s="20" t="n">
        <v>4000</v>
      </c>
      <c r="D21" s="21" t="inlineStr">
        <is>
          <t>Vidéaste + montage 3 vidéos (60s, 30s, 15s)</t>
        </is>
      </c>
    </row>
    <row r="22" ht="22" customHeight="1">
      <c r="A22" s="18" t="inlineStr">
        <is>
          <t>Pilote terrain — incentives</t>
        </is>
      </c>
      <c r="B22" s="16" t="inlineStr">
        <is>
          <t>Acquisition</t>
        </is>
      </c>
      <c r="C22" s="20" t="n">
        <v>2000</v>
      </c>
      <c r="D22" s="21" t="inlineStr">
        <is>
          <t>Cartes cadeaux pilotes (Joanel + 9)</t>
        </is>
      </c>
    </row>
    <row r="23" ht="22" customHeight="1">
      <c r="A23" s="18" t="inlineStr">
        <is>
          <t>Salon REM 2026 (stand + frais)</t>
        </is>
      </c>
      <c r="B23" s="16" t="inlineStr">
        <is>
          <t>Acquisition</t>
        </is>
      </c>
      <c r="C23" s="20" t="n">
        <v>5500</v>
      </c>
      <c r="D23" s="21" t="inlineStr">
        <is>
          <t>Présence salon courtiers QC</t>
        </is>
      </c>
    </row>
    <row r="24" ht="22" customHeight="1">
      <c r="A24" s="18" t="inlineStr">
        <is>
          <t>Comptable — bouclage initial</t>
        </is>
      </c>
      <c r="B24" s="16" t="inlineStr">
        <is>
          <t>Admin</t>
        </is>
      </c>
      <c r="C24" s="20" t="n">
        <v>2000</v>
      </c>
      <c r="D24" s="21" t="inlineStr">
        <is>
          <t>Bilan ouverture + structures fiscales</t>
        </is>
      </c>
    </row>
    <row r="25" ht="22" customHeight="1">
      <c r="A25" s="18" t="inlineStr">
        <is>
          <t>Provision contingence</t>
        </is>
      </c>
      <c r="B25" s="16" t="inlineStr">
        <is>
          <t>Réserve</t>
        </is>
      </c>
      <c r="C25" s="20" t="n">
        <v>5000</v>
      </c>
      <c r="D25" s="21" t="inlineStr">
        <is>
          <t>Imprévus (5–10% du total)</t>
        </is>
      </c>
    </row>
    <row r="27" ht="28" customHeight="1">
      <c r="A27" s="42" t="inlineStr">
        <is>
          <t>TOTAL SETUP ONE-SHOT</t>
        </is>
      </c>
      <c r="B27" s="41" t="n"/>
      <c r="C27" s="43">
        <f>SUM(C5:C25)</f>
        <v/>
      </c>
      <c r="D27" s="41" t="n"/>
    </row>
    <row r="29">
      <c r="A29" s="3" t="inlineStr">
        <is>
          <t>Sous-totaux par catégorie</t>
        </is>
      </c>
    </row>
    <row r="30" ht="20" customHeight="1">
      <c r="A30" s="17" t="inlineStr">
        <is>
          <t>Légal</t>
        </is>
      </c>
      <c r="B30" s="47" t="n"/>
      <c r="C30" s="20">
        <f>SUMIF(B5:B25,"Légal",C5:C25)</f>
        <v/>
      </c>
      <c r="D30" s="47" t="n"/>
    </row>
    <row r="31" ht="20" customHeight="1">
      <c r="A31" s="17" t="inlineStr">
        <is>
          <t>PI</t>
        </is>
      </c>
      <c r="B31" s="47" t="n"/>
      <c r="C31" s="20">
        <f>SUMIF(B5:B25,"PI",C5:C25)</f>
        <v/>
      </c>
      <c r="D31" s="47" t="n"/>
    </row>
    <row r="32" ht="20" customHeight="1">
      <c r="A32" s="17" t="inlineStr">
        <is>
          <t>Conformité</t>
        </is>
      </c>
      <c r="B32" s="47" t="n"/>
      <c r="C32" s="20">
        <f>SUMIF(B5:B25,"Conformité",C5:C25)</f>
        <v/>
      </c>
      <c r="D32" s="47" t="n"/>
    </row>
    <row r="33" ht="20" customHeight="1">
      <c r="A33" s="17" t="inlineStr">
        <is>
          <t>Sécurité</t>
        </is>
      </c>
      <c r="B33" s="47" t="n"/>
      <c r="C33" s="20">
        <f>SUMIF(B5:B25,"Sécurité",C5:C25)</f>
        <v/>
      </c>
      <c r="D33" s="47" t="n"/>
    </row>
    <row r="34" ht="20" customHeight="1">
      <c r="A34" s="17" t="inlineStr">
        <is>
          <t>Hardware</t>
        </is>
      </c>
      <c r="B34" s="47" t="n"/>
      <c r="C34" s="20">
        <f>SUMIF(B5:B25,"Hardware",C5:C25)</f>
        <v/>
      </c>
      <c r="D34" s="47" t="n"/>
    </row>
    <row r="35" ht="20" customHeight="1">
      <c r="A35" s="17" t="inlineStr">
        <is>
          <t>Marketing</t>
        </is>
      </c>
      <c r="B35" s="47" t="n"/>
      <c r="C35" s="20">
        <f>SUMIF(B5:B25,"Marketing",C5:C25)</f>
        <v/>
      </c>
      <c r="D35" s="47" t="n"/>
    </row>
    <row r="36" ht="20" customHeight="1">
      <c r="A36" s="17" t="inlineStr">
        <is>
          <t>Acquisition</t>
        </is>
      </c>
      <c r="B36" s="47" t="n"/>
      <c r="C36" s="20">
        <f>SUMIF(B5:B25,"Acquisition",C5:C25)</f>
        <v/>
      </c>
      <c r="D36" s="47" t="n"/>
    </row>
    <row r="37" ht="20" customHeight="1">
      <c r="A37" s="17" t="inlineStr">
        <is>
          <t>Admin</t>
        </is>
      </c>
      <c r="B37" s="47" t="n"/>
      <c r="C37" s="20">
        <f>SUMIF(B5:B25,"Admin",C5:C25)</f>
        <v/>
      </c>
      <c r="D37" s="47" t="n"/>
    </row>
    <row r="38" ht="20" customHeight="1">
      <c r="A38" s="17" t="inlineStr">
        <is>
          <t>Réserve</t>
        </is>
      </c>
      <c r="B38" s="47" t="n"/>
      <c r="C38" s="20">
        <f>SUMIF(B5:B25,"Réserve",C5:C25)</f>
        <v/>
      </c>
      <c r="D38" s="4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2026-05-15T22:46:33Z</dcterms:created>
  <dcterms:modified xmlns:dcterms="http://purl.org/dc/terms/" xmlns:xsi="http://www.w3.org/2001/XMLSchema-instance" xsi:type="dcterms:W3CDTF">2026-05-15T22:46:33Z</dcterms:modified>
</cp:coreProperties>
</file>